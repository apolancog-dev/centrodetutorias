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Mercado" sheetId="3" state="visible" r:id="rId3"/>
    <sheet xmlns:r="http://schemas.openxmlformats.org/officeDocument/2006/relationships" name="Unit_Economics" sheetId="4" state="visible" r:id="rId4"/>
    <sheet xmlns:r="http://schemas.openxmlformats.org/officeDocument/2006/relationships" name="Forecast_Base" sheetId="5" state="visible" r:id="rId5"/>
    <sheet xmlns:r="http://schemas.openxmlformats.org/officeDocument/2006/relationships" name="Escenarios" sheetId="6" state="visible" r:id="rId6"/>
    <sheet xmlns:r="http://schemas.openxmlformats.org/officeDocument/2006/relationships" name="Inversion_Costos" sheetId="7" state="visible" r:id="rId7"/>
    <sheet xmlns:r="http://schemas.openxmlformats.org/officeDocument/2006/relationships" name="Fuentes_Check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Q&quot;#,##0;[Red]\(&quot;Q&quot;#,##0\);\-"/>
    <numFmt numFmtId="165" formatCode="0.0"/>
    <numFmt numFmtId="166" formatCode="0.0%;[Red]\(0.0%\);\-"/>
    <numFmt numFmtId="167" formatCode="&quot;Q&quot;#,##0.0;[Red]\(&quot;Q&quot;#,##0.0\);\-"/>
    <numFmt numFmtId="168" formatCode="#,##0;[Red]\(#,##0\);\-"/>
  </numFmts>
  <fonts count="7">
    <font>
      <name val="Carlito"/>
      <sz val="11"/>
    </font>
    <font>
      <name val="Aptos"/>
      <b val="1"/>
      <color rgb="FFFFFFFF"/>
      <sz val="10"/>
    </font>
    <font>
      <name val="Aptos"/>
      <i val="1"/>
      <color rgb="FF4F5B62"/>
      <sz val="10"/>
    </font>
    <font>
      <name val="Aptos"/>
      <sz val="10"/>
    </font>
    <font>
      <name val="Aptos"/>
      <color rgb="FF0000FF"/>
      <sz val="10"/>
    </font>
    <font>
      <name val="Aptos"/>
      <color rgb="FF000000"/>
      <sz val="10"/>
    </font>
    <font>
      <name val="Aptos"/>
      <b val="1"/>
      <color rgb="FF183B56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7" fontId="5" fillId="0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168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166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6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</cellXfs>
  <cellStyles count="1">
    <cellStyle name="Normal" xfId="0" builtinId="0"/>
  </cellStyles>
  <dxfs count="2">
    <dxf>
      <font>
        <b val="1"/>
        <color rgb="FFD64545"/>
      </font>
    </dxf>
    <dxf>
      <font>
        <b val="1"/>
        <color rgb="FF219653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GT"/>
              <a:t>Ingresos y EBITDA mensual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Ingresos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Resumen!$G$5:$G$28</f>
              <strCache>
                <ptCount val="24"/>
                <pt idx="0">
                  <v>may 26</v>
                </pt>
                <pt idx="1">
                  <v>jun 26</v>
                </pt>
                <pt idx="2">
                  <v>jul 26</v>
                </pt>
                <pt idx="3">
                  <v>ago 26</v>
                </pt>
                <pt idx="4">
                  <v>sept 26</v>
                </pt>
                <pt idx="5">
                  <v>oct 26</v>
                </pt>
                <pt idx="6">
                  <v>nov 26</v>
                </pt>
                <pt idx="7">
                  <v>dic 26</v>
                </pt>
                <pt idx="8">
                  <v>ene 27</v>
                </pt>
                <pt idx="9">
                  <v>feb 27</v>
                </pt>
                <pt idx="10">
                  <v>mar 27</v>
                </pt>
                <pt idx="11">
                  <v>abr 27</v>
                </pt>
                <pt idx="12">
                  <v>may 27</v>
                </pt>
                <pt idx="13">
                  <v>jun 27</v>
                </pt>
                <pt idx="14">
                  <v>jul 27</v>
                </pt>
                <pt idx="15">
                  <v>ago 27</v>
                </pt>
                <pt idx="16">
                  <v>sept 27</v>
                </pt>
                <pt idx="17">
                  <v>oct 27</v>
                </pt>
                <pt idx="18">
                  <v>nov 27</v>
                </pt>
                <pt idx="19">
                  <v>dic 27</v>
                </pt>
                <pt idx="20">
                  <v>ene 28</v>
                </pt>
                <pt idx="21">
                  <v>feb 28</v>
                </pt>
                <pt idx="22">
                  <v>mar 28</v>
                </pt>
                <pt idx="23">
                  <v>abr 28</v>
                </pt>
              </strCache>
            </strRef>
          </cat>
          <val>
            <numRef>
              <f>Resumen!$H$5:$H$28</f>
              <numCache>
                <formatCode>"Q"#,##0;[Red]\("Q"#,##0\);\-</formatCode>
                <ptCount val="24"/>
                <pt idx="0">
                  <v>11280</v>
                </pt>
                <pt idx="1">
                  <v>22785.6</v>
                </pt>
                <pt idx="2">
                  <v>34611.552</v>
                </pt>
                <pt idx="3">
                  <v>46856.30784000001</v>
                </pt>
                <pt idx="4">
                  <v>59622.85121280001</v>
                </pt>
                <pt idx="5">
                  <v>73019.57591577602</v>
                </pt>
                <pt idx="6">
                  <v>87161.21792251396</v>
                </pt>
                <pt idx="7">
                  <v>102169.8493767129</v>
                </pt>
                <pt idx="8">
                  <v>118175.9432033759</v>
                </pt>
                <pt idx="9">
                  <v>135319.5177015858</v>
                </pt>
                <pt idx="10">
                  <v>153751.371235387</v>
                </pt>
                <pt idx="11">
                  <v>173634.4179814768</v>
                </pt>
                <pt idx="12">
                  <v>195145.1366323716</v>
                </pt>
                <pt idx="13">
                  <v>218475.1450001361</v>
                </pt>
                <pt idx="14">
                  <v>243832.9146283149</v>
                </pt>
                <pt idx="15">
                  <v>271445.6408090583</v>
                </pt>
                <pt idx="16">
                  <v>301561.2848304431</v>
                </pt>
                <pt idx="17">
                  <v>334450.8068587281</v>
                </pt>
                <pt idx="18">
                  <v>370410.6096062223</v>
                </pt>
                <pt idx="19">
                  <v>409765.2148635363</v>
                </pt>
                <pt idx="20">
                  <v>452870.1971028463</v>
                </pt>
                <pt idx="21">
                  <v>500115.4007058508</v>
                </pt>
                <pt idx="22">
                  <v>551928.4699577381</v>
                </pt>
                <pt idx="23">
                  <v>608778.7238003099</v>
                </pt>
              </numCache>
            </numRef>
          </val>
          <smooth val="0"/>
        </ser>
        <ser>
          <idx val="1"/>
          <order val="1"/>
          <tx>
            <v>EBITDA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Resumen!$G$5:$G$28</f>
              <strCache>
                <ptCount val="24"/>
                <pt idx="0">
                  <v>may 26</v>
                </pt>
                <pt idx="1">
                  <v>jun 26</v>
                </pt>
                <pt idx="2">
                  <v>jul 26</v>
                </pt>
                <pt idx="3">
                  <v>ago 26</v>
                </pt>
                <pt idx="4">
                  <v>sept 26</v>
                </pt>
                <pt idx="5">
                  <v>oct 26</v>
                </pt>
                <pt idx="6">
                  <v>nov 26</v>
                </pt>
                <pt idx="7">
                  <v>dic 26</v>
                </pt>
                <pt idx="8">
                  <v>ene 27</v>
                </pt>
                <pt idx="9">
                  <v>feb 27</v>
                </pt>
                <pt idx="10">
                  <v>mar 27</v>
                </pt>
                <pt idx="11">
                  <v>abr 27</v>
                </pt>
                <pt idx="12">
                  <v>may 27</v>
                </pt>
                <pt idx="13">
                  <v>jun 27</v>
                </pt>
                <pt idx="14">
                  <v>jul 27</v>
                </pt>
                <pt idx="15">
                  <v>ago 27</v>
                </pt>
                <pt idx="16">
                  <v>sept 27</v>
                </pt>
                <pt idx="17">
                  <v>oct 27</v>
                </pt>
                <pt idx="18">
                  <v>nov 27</v>
                </pt>
                <pt idx="19">
                  <v>dic 27</v>
                </pt>
                <pt idx="20">
                  <v>ene 28</v>
                </pt>
                <pt idx="21">
                  <v>feb 28</v>
                </pt>
                <pt idx="22">
                  <v>mar 28</v>
                </pt>
                <pt idx="23">
                  <v>abr 28</v>
                </pt>
              </strCache>
            </strRef>
          </cat>
          <val>
            <numRef>
              <f>Resumen!$I$5:$I$28</f>
              <numCache>
                <formatCode>"Q"#,##0;[Red]\("Q"#,##0\);\-</formatCode>
                <ptCount val="24"/>
                <pt idx="0">
                  <v>-6046.4</v>
                </pt>
                <pt idx="1">
                  <v>-3184.687999999998</v>
                </pt>
                <pt idx="2">
                  <v>-243.296959999996</v>
                </pt>
                <pt idx="3">
                  <v>2802.260396800002</v>
                </pt>
                <pt idx="4">
                  <v>5977.598525056004</v>
                </pt>
                <pt idx="5">
                  <v>9309.677499051526</v>
                </pt>
                <pt idx="6">
                  <v>12460.79484072741</v>
                </pt>
                <pt idx="7">
                  <v>16193.79274922923</v>
                </pt>
                <pt idx="8">
                  <v>20174.8828946269</v>
                </pt>
                <pt idx="9">
                  <v>24438.89110492634</v>
                </pt>
                <pt idx="10">
                  <v>29023.32446258882</v>
                </pt>
                <pt idx="11">
                  <v>33968.70353624393</v>
                </pt>
                <pt idx="12">
                  <v>38908.73390707287</v>
                </pt>
                <pt idx="13">
                  <v>44711.45300960835</v>
                </pt>
                <pt idx="14">
                  <v>51018.52379585108</v>
                </pt>
                <pt idx="15">
                  <v>57886.45505229559</v>
                </pt>
                <pt idx="16">
                  <v>65376.92055463576</v>
                </pt>
                <pt idx="17">
                  <v>73557.31443784112</v>
                </pt>
                <pt idx="18">
                  <v>82041.94753754765</v>
                </pt>
                <pt idx="19">
                  <v>91830.35893027106</v>
                </pt>
                <pt idx="20">
                  <v>102551.5768531973</v>
                </pt>
                <pt idx="21">
                  <v>114302.5647280723</v>
                </pt>
                <pt idx="22">
                  <v>127189.6876973183</v>
                </pt>
                <pt idx="23">
                  <v>141329.6763658218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&quot;Q&quot;#,##0;[Red]\(&quot;Q&quot;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GT"/>
              <a:t>Recuperación de inversión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Flujo acumulado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Resumen!$A$15:$A$38</f>
              <strCache>
                <ptCount val="24"/>
                <pt idx="0">
                  <v>may 26</v>
                </pt>
                <pt idx="1">
                  <v>jun 26</v>
                </pt>
                <pt idx="2">
                  <v>jul 26</v>
                </pt>
                <pt idx="3">
                  <v>ago 26</v>
                </pt>
                <pt idx="4">
                  <v>sept 26</v>
                </pt>
                <pt idx="5">
                  <v>oct 26</v>
                </pt>
                <pt idx="6">
                  <v>nov 26</v>
                </pt>
                <pt idx="7">
                  <v>dic 26</v>
                </pt>
                <pt idx="8">
                  <v>ene 27</v>
                </pt>
                <pt idx="9">
                  <v>feb 27</v>
                </pt>
                <pt idx="10">
                  <v>mar 27</v>
                </pt>
                <pt idx="11">
                  <v>abr 27</v>
                </pt>
                <pt idx="12">
                  <v>may 27</v>
                </pt>
                <pt idx="13">
                  <v>jun 27</v>
                </pt>
                <pt idx="14">
                  <v>jul 27</v>
                </pt>
                <pt idx="15">
                  <v>ago 27</v>
                </pt>
                <pt idx="16">
                  <v>sept 27</v>
                </pt>
                <pt idx="17">
                  <v>oct 27</v>
                </pt>
                <pt idx="18">
                  <v>nov 27</v>
                </pt>
                <pt idx="19">
                  <v>dic 27</v>
                </pt>
                <pt idx="20">
                  <v>ene 28</v>
                </pt>
                <pt idx="21">
                  <v>feb 28</v>
                </pt>
                <pt idx="22">
                  <v>mar 28</v>
                </pt>
                <pt idx="23">
                  <v>abr 28</v>
                </pt>
              </strCache>
            </strRef>
          </cat>
          <val>
            <numRef>
              <f>Resumen!$B$15:$B$38</f>
              <numCache>
                <formatCode>"Q"#,##0;[Red]\("Q"#,##0\);\-</formatCode>
                <ptCount val="24"/>
                <pt idx="0">
                  <v>-6546.4</v>
                </pt>
                <pt idx="1">
                  <v>-9731.087999999998</v>
                </pt>
                <pt idx="2">
                  <v>-9974.384959999994</v>
                </pt>
                <pt idx="3">
                  <v>-7172.124563199992</v>
                </pt>
                <pt idx="4">
                  <v>-1194.526038143988</v>
                </pt>
                <pt idx="5">
                  <v>8115.151460907538</v>
                </pt>
                <pt idx="6">
                  <v>20575.94630163495</v>
                </pt>
                <pt idx="7">
                  <v>36769.73905086418</v>
                </pt>
                <pt idx="8">
                  <v>56944.62194549108</v>
                </pt>
                <pt idx="9">
                  <v>81383.51305041743</v>
                </pt>
                <pt idx="10">
                  <v>110406.8375130062</v>
                </pt>
                <pt idx="11">
                  <v>144375.5410492502</v>
                </pt>
                <pt idx="12">
                  <v>183284.274956323</v>
                </pt>
                <pt idx="13">
                  <v>227995.7279659314</v>
                </pt>
                <pt idx="14">
                  <v>279014.2517617824</v>
                </pt>
                <pt idx="15">
                  <v>336900.706814078</v>
                </pt>
                <pt idx="16">
                  <v>402277.6273687138</v>
                </pt>
                <pt idx="17">
                  <v>475834.9418065549</v>
                </pt>
                <pt idx="18">
                  <v>557876.8893441026</v>
                </pt>
                <pt idx="19">
                  <v>649707.2482743736</v>
                </pt>
                <pt idx="20">
                  <v>752258.8251275709</v>
                </pt>
                <pt idx="21">
                  <v>866561.3898556432</v>
                </pt>
                <pt idx="22">
                  <v>993751.0775529614</v>
                </pt>
                <pt idx="23">
                  <v>1135080.753918783</v>
                </pt>
              </numCache>
            </numRef>
          </val>
          <smooth val="0"/>
        </ser>
        <ser>
          <idx val="1"/>
          <order val="1"/>
          <tx>
            <v>Break-even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Resumen!$A$15:$A$38</f>
              <strCache>
                <ptCount val="24"/>
                <pt idx="0">
                  <v>may 26</v>
                </pt>
                <pt idx="1">
                  <v>jun 26</v>
                </pt>
                <pt idx="2">
                  <v>jul 26</v>
                </pt>
                <pt idx="3">
                  <v>ago 26</v>
                </pt>
                <pt idx="4">
                  <v>sept 26</v>
                </pt>
                <pt idx="5">
                  <v>oct 26</v>
                </pt>
                <pt idx="6">
                  <v>nov 26</v>
                </pt>
                <pt idx="7">
                  <v>dic 26</v>
                </pt>
                <pt idx="8">
                  <v>ene 27</v>
                </pt>
                <pt idx="9">
                  <v>feb 27</v>
                </pt>
                <pt idx="10">
                  <v>mar 27</v>
                </pt>
                <pt idx="11">
                  <v>abr 27</v>
                </pt>
                <pt idx="12">
                  <v>may 27</v>
                </pt>
                <pt idx="13">
                  <v>jun 27</v>
                </pt>
                <pt idx="14">
                  <v>jul 27</v>
                </pt>
                <pt idx="15">
                  <v>ago 27</v>
                </pt>
                <pt idx="16">
                  <v>sept 27</v>
                </pt>
                <pt idx="17">
                  <v>oct 27</v>
                </pt>
                <pt idx="18">
                  <v>nov 27</v>
                </pt>
                <pt idx="19">
                  <v>dic 27</v>
                </pt>
                <pt idx="20">
                  <v>ene 28</v>
                </pt>
                <pt idx="21">
                  <v>feb 28</v>
                </pt>
                <pt idx="22">
                  <v>mar 28</v>
                </pt>
                <pt idx="23">
                  <v>abr 28</v>
                </pt>
              </strCache>
            </strRef>
          </cat>
          <val>
            <numRef>
              <f>Resumen!$C$15:$C$38</f>
              <numCache>
                <formatCode>"Q"#,##0;[Red]\("Q"#,##0\);\-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&quot;Q&quot;#,##0;[Red]\(&quot;Q&quot;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GT"/>
              <a:t>Estructura de costos en mes 12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Monto mensual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Resumen!$A$42:$A$45</f>
              <strCache>
                <ptCount val="4"/>
                <pt idx="0">
                  <v>Pago tutores</v>
                </pt>
                <pt idx="1">
                  <v>Pauta</v>
                </pt>
                <pt idx="2">
                  <v>Otros fijos</v>
                </pt>
                <pt idx="3">
                  <v>Fees + materiales</v>
                </pt>
              </strCache>
            </strRef>
          </cat>
          <val>
            <numRef>
              <f>Resumen!$B$42:$B$45</f>
              <numCache>
                <formatCode>"Q"#,##0;[Red]\("Q"#,##0\);\-</formatCode>
                <ptCount val="4"/>
                <pt idx="0">
                  <v>121544.0925870338</v>
                </pt>
                <pt idx="1">
                  <v>3418.24</v>
                </pt>
                <pt idx="2">
                  <v>5800</v>
                </pt>
                <pt idx="3">
                  <v>8903.381858199131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&quot;Q&quot;#,##0;[Red]\(&quot;Q&quot;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GT"/>
              <a:t>EBITDA M12 por escenario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EBITDA M12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Resumen!$J$32:$J$34</f>
              <strCache>
                <ptCount val="3"/>
                <pt idx="0">
                  <v>Conservador</v>
                </pt>
                <pt idx="1">
                  <v>Base</v>
                </pt>
                <pt idx="2">
                  <v>Acelerado</v>
                </pt>
              </strCache>
            </strRef>
          </cat>
          <val>
            <numRef>
              <f>Resumen!$K$32:$K$34</f>
              <numCache>
                <formatCode>"Q"#,##0;[Red]\("Q"#,##0\);\-</formatCode>
                <ptCount val="3"/>
                <pt idx="0">
                  <v>2503.743917572136</v>
                </pt>
                <pt idx="1">
                  <v>33968.70353624393</v>
                </pt>
                <pt idx="2">
                  <v>127188.5654474131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&quot;Q&quot;#,##0;[Red]\(&quot;Q&quot;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6</col>
      <colOff>0</colOff>
      <row>3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0</colOff>
      <row>13</row>
      <rowOff>0</rowOff>
    </from>
    <to>
      <col>14</col>
      <colOff>0</colOff>
      <row>28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0</colOff>
      <row>30</row>
      <rowOff>0</rowOff>
    </from>
    <to>
      <col>9</col>
      <colOff>0</colOff>
      <row>45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0</colOff>
      <row>35</row>
      <rowOff>0</rowOff>
    </from>
    <to>
      <col>14</col>
      <colOff>0</colOff>
      <row>45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abSelected="1" workbookViewId="0">
      <selection activeCell="A1" sqref="A1:N1"/>
    </sheetView>
  </sheetViews>
  <sheetFormatPr baseColWidth="10" defaultColWidth="8.83203125" defaultRowHeight="14"/>
  <cols>
    <col width="22.6640625" customWidth="1" min="1" max="1"/>
    <col width="16.5" customWidth="1" min="2" max="2"/>
    <col width="4.33203125" customWidth="1" min="3" max="3"/>
    <col width="16.5" customWidth="1" min="4" max="4"/>
    <col width="32.5" customWidth="1" min="5" max="5"/>
    <col width="4.33203125" customWidth="1" min="6" max="6"/>
    <col width="12.83203125" customWidth="1" min="7" max="11"/>
    <col width="17.83203125" customWidth="1" min="12" max="12"/>
    <col width="12.83203125" customWidth="1" min="13" max="14"/>
  </cols>
  <sheetData>
    <row r="1" ht="25.5" customHeight="1">
      <c r="A1" s="19" t="inlineStr">
        <is>
          <t>Centro de Tutorías - Modelo financiero y dashboard</t>
        </is>
      </c>
    </row>
    <row r="2" ht="18" customHeight="1">
      <c r="A2" s="20" t="inlineStr">
        <is>
          <t>Caso base editable. Construido con documentación de Notion, fuentes de mercado y supuestos explícitos.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1" t="inlineStr">
        <is>
          <t>KPI</t>
        </is>
      </c>
      <c r="B4" s="21" t="inlineStr">
        <is>
          <t>Caso base</t>
        </is>
      </c>
      <c r="C4" s="2" t="n"/>
      <c r="D4" s="21" t="inlineStr">
        <is>
          <t>Decisión</t>
        </is>
      </c>
      <c r="E4" s="21" t="inlineStr">
        <is>
          <t>Lectura ejecutiva</t>
        </is>
      </c>
      <c r="F4" s="2" t="n"/>
      <c r="G4" s="21" t="inlineStr">
        <is>
          <t>Mes</t>
        </is>
      </c>
      <c r="H4" s="21" t="inlineStr">
        <is>
          <t>Ingresos</t>
        </is>
      </c>
      <c r="I4" s="21" t="inlineStr">
        <is>
          <t>EBITDA</t>
        </is>
      </c>
      <c r="J4" s="2" t="n"/>
      <c r="K4" s="2" t="n"/>
      <c r="L4" s="2" t="n"/>
      <c r="M4" s="2" t="n"/>
      <c r="N4" s="2" t="n"/>
    </row>
    <row r="5" ht="60" customHeight="1">
      <c r="A5" s="2" t="inlineStr">
        <is>
          <t>Precio ponderado / hora</t>
        </is>
      </c>
      <c r="B5" s="3">
        <f>Unit_Economics!C5</f>
        <v/>
      </c>
      <c r="C5" s="2" t="n"/>
      <c r="D5" s="4" t="inlineStr">
        <is>
          <t>Precio</t>
        </is>
      </c>
      <c r="E5" s="4" t="inlineStr">
        <is>
          <t>El precio objetivo es premium frente a alternativas locales; debe venderse con diagnóstico, tutores calificados y reportes de avance.</t>
        </is>
      </c>
      <c r="F5" s="2" t="n"/>
      <c r="G5" s="2">
        <f>Forecast_Base!B$4</f>
        <v/>
      </c>
      <c r="H5" s="3">
        <f>Forecast_Base!B$9</f>
        <v/>
      </c>
      <c r="I5" s="3">
        <f>Forecast_Base!B$17</f>
        <v/>
      </c>
      <c r="J5" s="2" t="n"/>
      <c r="K5" s="2" t="n"/>
      <c r="L5" s="2" t="n"/>
      <c r="M5" s="2" t="n"/>
      <c r="N5" s="2" t="n"/>
    </row>
    <row r="6" ht="60" customHeight="1">
      <c r="A6" s="2" t="inlineStr">
        <is>
          <t>Contribución / hora</t>
        </is>
      </c>
      <c r="B6" s="3">
        <f>Unit_Economics!C9</f>
        <v/>
      </c>
      <c r="C6" s="2" t="n"/>
      <c r="D6" s="4" t="inlineStr">
        <is>
          <t>Rentabilidad</t>
        </is>
      </c>
      <c r="E6" s="4" t="inlineStr">
        <is>
          <t>El modelo funciona por contribución por hora. Con la mezcla base, cada hora aporta cerca del 25% después de tutor, cobros y materiales.</t>
        </is>
      </c>
      <c r="F6" s="2" t="n"/>
      <c r="G6" s="2">
        <f>Forecast_Base!C$4</f>
        <v/>
      </c>
      <c r="H6" s="3">
        <f>Forecast_Base!C$9</f>
        <v/>
      </c>
      <c r="I6" s="3">
        <f>Forecast_Base!C$17</f>
        <v/>
      </c>
      <c r="J6" s="2" t="n"/>
      <c r="K6" s="2" t="n"/>
      <c r="L6" s="2" t="n"/>
      <c r="M6" s="2" t="n"/>
      <c r="N6" s="2" t="n"/>
    </row>
    <row r="7" ht="45" customHeight="1">
      <c r="A7" s="2" t="inlineStr">
        <is>
          <t>Alumnos para break-even</t>
        </is>
      </c>
      <c r="B7" s="22">
        <f>Unit_Economics!C16</f>
        <v/>
      </c>
      <c r="C7" s="2" t="n"/>
      <c r="D7" s="4" t="inlineStr">
        <is>
          <t>Punto de equilibrio</t>
        </is>
      </c>
      <c r="E7" s="4" t="inlineStr">
        <is>
          <t>La meta crítica es superar el umbral de alumnos activos mensuales y sostener horas recurrentes.</t>
        </is>
      </c>
      <c r="F7" s="2" t="n"/>
      <c r="G7" s="2">
        <f>Forecast_Base!D$4</f>
        <v/>
      </c>
      <c r="H7" s="3">
        <f>Forecast_Base!D$9</f>
        <v/>
      </c>
      <c r="I7" s="3">
        <f>Forecast_Base!D$17</f>
        <v/>
      </c>
      <c r="J7" s="2" t="n"/>
      <c r="K7" s="2" t="n"/>
      <c r="L7" s="2" t="n"/>
      <c r="M7" s="2" t="n"/>
      <c r="N7" s="2" t="n"/>
    </row>
    <row r="8" ht="60" customHeight="1">
      <c r="A8" s="2" t="inlineStr">
        <is>
          <t>Mes EBITDA positivo</t>
        </is>
      </c>
      <c r="B8" s="2">
        <f>INDEX(Forecast_Base!$B$4:$Y$4,1,MATCH(TRUE,Forecast_Base!$B$17:$Y$17&gt;0,0))</f>
        <v/>
      </c>
      <c r="C8" s="2" t="n"/>
      <c r="D8" s="4" t="inlineStr">
        <is>
          <t>Marketing</t>
        </is>
      </c>
      <c r="E8" s="4" t="inlineStr">
        <is>
          <t>La pauta base de USD 400/mes está dentro del rango recomendado en Notion; debe optimizarse por CPL y conversión en WhatsApp.</t>
        </is>
      </c>
      <c r="F8" s="2" t="n"/>
      <c r="G8" s="2">
        <f>Forecast_Base!E$4</f>
        <v/>
      </c>
      <c r="H8" s="3">
        <f>Forecast_Base!E$9</f>
        <v/>
      </c>
      <c r="I8" s="3">
        <f>Forecast_Base!E$17</f>
        <v/>
      </c>
      <c r="J8" s="2" t="n"/>
      <c r="K8" s="2" t="n"/>
      <c r="L8" s="2" t="n"/>
      <c r="M8" s="2" t="n"/>
      <c r="N8" s="2" t="n"/>
    </row>
    <row r="9" ht="45" customHeight="1">
      <c r="A9" s="2" t="inlineStr">
        <is>
          <t>Mes recuperación inversión</t>
        </is>
      </c>
      <c r="B9" s="2">
        <f>IFERROR(INDEX(Forecast_Base!$B$4:$Y$4,1,MATCH(TRUE,Forecast_Base!$B$19:$Y$19&gt;0,0)),"No en 24m")</f>
        <v/>
      </c>
      <c r="C9" s="2" t="n"/>
      <c r="D9" s="4" t="inlineStr">
        <is>
          <t>Operación</t>
        </is>
      </c>
      <c r="E9" s="4" t="inlineStr">
        <is>
          <t>La calidad de tutores y seguimiento a padres reducen churn y sostienen la posibilidad de cobrar premium.</t>
        </is>
      </c>
      <c r="F9" s="2" t="n"/>
      <c r="G9" s="2">
        <f>Forecast_Base!F$4</f>
        <v/>
      </c>
      <c r="H9" s="3">
        <f>Forecast_Base!F$9</f>
        <v/>
      </c>
      <c r="I9" s="3">
        <f>Forecast_Base!F$17</f>
        <v/>
      </c>
      <c r="J9" s="2" t="n"/>
      <c r="K9" s="2" t="n"/>
      <c r="L9" s="2" t="n"/>
      <c r="M9" s="2" t="n"/>
      <c r="N9" s="2" t="n"/>
    </row>
    <row r="10" ht="60" customHeight="1">
      <c r="A10" s="2" t="inlineStr">
        <is>
          <t>Ingresos mes 12</t>
        </is>
      </c>
      <c r="B10" s="3">
        <f>Forecast_Base!M9</f>
        <v/>
      </c>
      <c r="C10" s="2" t="n"/>
      <c r="D10" s="4" t="inlineStr">
        <is>
          <t>Capital</t>
        </is>
      </c>
      <c r="E10" s="4" t="inlineStr">
        <is>
          <t>Conviene iniciar con inversión inicial más dos meses de costos fijos para no cortar aprendizaje de campañas demasiado pronto.</t>
        </is>
      </c>
      <c r="F10" s="2" t="n"/>
      <c r="G10" s="2">
        <f>Forecast_Base!G$4</f>
        <v/>
      </c>
      <c r="H10" s="3">
        <f>Forecast_Base!G$9</f>
        <v/>
      </c>
      <c r="I10" s="3">
        <f>Forecast_Base!G$17</f>
        <v/>
      </c>
      <c r="J10" s="2" t="n"/>
      <c r="K10" s="2" t="n"/>
      <c r="L10" s="2" t="n"/>
      <c r="M10" s="2" t="n"/>
      <c r="N10" s="2" t="n"/>
    </row>
    <row r="11" ht="45" customHeight="1">
      <c r="A11" s="2" t="inlineStr">
        <is>
          <t>EBITDA mes 12</t>
        </is>
      </c>
      <c r="B11" s="3">
        <f>Forecast_Base!M17</f>
        <v/>
      </c>
      <c r="C11" s="2" t="n"/>
      <c r="D11" s="4" t="inlineStr">
        <is>
          <t>Siguiente paso</t>
        </is>
      </c>
      <c r="E11" s="4" t="inlineStr">
        <is>
          <t>Usar los primeros 30 días para medir CPL real, conversión lead-cliente, horas promedio por alumno y retención.</t>
        </is>
      </c>
      <c r="F11" s="2" t="n"/>
      <c r="G11" s="2">
        <f>Forecast_Base!H$4</f>
        <v/>
      </c>
      <c r="H11" s="3">
        <f>Forecast_Base!H$9</f>
        <v/>
      </c>
      <c r="I11" s="3">
        <f>Forecast_Base!H$17</f>
        <v/>
      </c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>
        <f>Forecast_Base!I$4</f>
        <v/>
      </c>
      <c r="H12" s="3">
        <f>Forecast_Base!I$9</f>
        <v/>
      </c>
      <c r="I12" s="3">
        <f>Forecast_Base!I$17</f>
        <v/>
      </c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>
        <f>Forecast_Base!J$4</f>
        <v/>
      </c>
      <c r="H13" s="3">
        <f>Forecast_Base!J$9</f>
        <v/>
      </c>
      <c r="I13" s="3">
        <f>Forecast_Base!J$17</f>
        <v/>
      </c>
      <c r="J13" s="2" t="n"/>
      <c r="K13" s="2" t="n"/>
      <c r="L13" s="2" t="n"/>
      <c r="M13" s="2" t="n"/>
      <c r="N13" s="2" t="n"/>
    </row>
    <row r="14">
      <c r="A14" s="21" t="inlineStr">
        <is>
          <t>Mes</t>
        </is>
      </c>
      <c r="B14" s="21" t="inlineStr">
        <is>
          <t>Flujo acumulado</t>
        </is>
      </c>
      <c r="C14" s="21" t="inlineStr">
        <is>
          <t>Break-even</t>
        </is>
      </c>
      <c r="D14" s="2" t="n"/>
      <c r="E14" s="2" t="n"/>
      <c r="F14" s="2" t="n"/>
      <c r="G14" s="2">
        <f>Forecast_Base!K$4</f>
        <v/>
      </c>
      <c r="H14" s="3">
        <f>Forecast_Base!K$9</f>
        <v/>
      </c>
      <c r="I14" s="3">
        <f>Forecast_Base!K$17</f>
        <v/>
      </c>
      <c r="J14" s="2" t="n"/>
      <c r="K14" s="2" t="n"/>
      <c r="L14" s="2" t="n"/>
      <c r="M14" s="2" t="n"/>
      <c r="N14" s="2" t="n"/>
    </row>
    <row r="15">
      <c r="A15" s="2">
        <f>Forecast_Base!B$4</f>
        <v/>
      </c>
      <c r="B15" s="3">
        <f>Forecast_Base!B$19</f>
        <v/>
      </c>
      <c r="C15" s="3">
        <f>0</f>
        <v/>
      </c>
      <c r="D15" s="2" t="n"/>
      <c r="E15" s="2" t="n"/>
      <c r="F15" s="2" t="n"/>
      <c r="G15" s="2">
        <f>Forecast_Base!L$4</f>
        <v/>
      </c>
      <c r="H15" s="3">
        <f>Forecast_Base!L$9</f>
        <v/>
      </c>
      <c r="I15" s="3">
        <f>Forecast_Base!L$17</f>
        <v/>
      </c>
      <c r="J15" s="2" t="n"/>
      <c r="K15" s="2" t="n"/>
      <c r="L15" s="2" t="n"/>
      <c r="M15" s="2" t="n"/>
      <c r="N15" s="2" t="n"/>
    </row>
    <row r="16">
      <c r="A16" s="2">
        <f>Forecast_Base!C$4</f>
        <v/>
      </c>
      <c r="B16" s="3">
        <f>Forecast_Base!C$19</f>
        <v/>
      </c>
      <c r="C16" s="3">
        <f>0</f>
        <v/>
      </c>
      <c r="D16" s="2" t="n"/>
      <c r="E16" s="2" t="n"/>
      <c r="F16" s="2" t="n"/>
      <c r="G16" s="2">
        <f>Forecast_Base!M$4</f>
        <v/>
      </c>
      <c r="H16" s="3">
        <f>Forecast_Base!M$9</f>
        <v/>
      </c>
      <c r="I16" s="3">
        <f>Forecast_Base!M$17</f>
        <v/>
      </c>
      <c r="J16" s="2" t="n"/>
      <c r="K16" s="2" t="n"/>
      <c r="L16" s="2" t="n"/>
      <c r="M16" s="2" t="n"/>
      <c r="N16" s="2" t="n"/>
    </row>
    <row r="17">
      <c r="A17" s="2">
        <f>Forecast_Base!D$4</f>
        <v/>
      </c>
      <c r="B17" s="3">
        <f>Forecast_Base!D$19</f>
        <v/>
      </c>
      <c r="C17" s="3">
        <f>0</f>
        <v/>
      </c>
      <c r="D17" s="2" t="n"/>
      <c r="E17" s="2" t="n"/>
      <c r="F17" s="2" t="n"/>
      <c r="G17" s="2">
        <f>Forecast_Base!N$4</f>
        <v/>
      </c>
      <c r="H17" s="3">
        <f>Forecast_Base!N$9</f>
        <v/>
      </c>
      <c r="I17" s="3">
        <f>Forecast_Base!N$17</f>
        <v/>
      </c>
      <c r="J17" s="2" t="n"/>
      <c r="K17" s="2" t="n"/>
      <c r="L17" s="2" t="n"/>
      <c r="M17" s="2" t="n"/>
      <c r="N17" s="2" t="n"/>
    </row>
    <row r="18">
      <c r="A18" s="2">
        <f>Forecast_Base!E$4</f>
        <v/>
      </c>
      <c r="B18" s="3">
        <f>Forecast_Base!E$19</f>
        <v/>
      </c>
      <c r="C18" s="3">
        <f>0</f>
        <v/>
      </c>
      <c r="D18" s="2" t="n"/>
      <c r="E18" s="2" t="n"/>
      <c r="F18" s="2" t="n"/>
      <c r="G18" s="2">
        <f>Forecast_Base!O$4</f>
        <v/>
      </c>
      <c r="H18" s="3">
        <f>Forecast_Base!O$9</f>
        <v/>
      </c>
      <c r="I18" s="3">
        <f>Forecast_Base!O$17</f>
        <v/>
      </c>
      <c r="J18" s="2" t="n"/>
      <c r="K18" s="2" t="n"/>
      <c r="L18" s="2" t="n"/>
      <c r="M18" s="2" t="n"/>
      <c r="N18" s="2" t="n"/>
    </row>
    <row r="19">
      <c r="A19" s="2">
        <f>Forecast_Base!F$4</f>
        <v/>
      </c>
      <c r="B19" s="3">
        <f>Forecast_Base!F$19</f>
        <v/>
      </c>
      <c r="C19" s="3">
        <f>0</f>
        <v/>
      </c>
      <c r="D19" s="2" t="n"/>
      <c r="E19" s="2" t="n"/>
      <c r="F19" s="2" t="n"/>
      <c r="G19" s="2">
        <f>Forecast_Base!P$4</f>
        <v/>
      </c>
      <c r="H19" s="3">
        <f>Forecast_Base!P$9</f>
        <v/>
      </c>
      <c r="I19" s="3">
        <f>Forecast_Base!P$17</f>
        <v/>
      </c>
      <c r="J19" s="2" t="n"/>
      <c r="K19" s="2" t="n"/>
      <c r="L19" s="2" t="n"/>
      <c r="M19" s="2" t="n"/>
      <c r="N19" s="2" t="n"/>
    </row>
    <row r="20">
      <c r="A20" s="2">
        <f>Forecast_Base!G$4</f>
        <v/>
      </c>
      <c r="B20" s="3">
        <f>Forecast_Base!G$19</f>
        <v/>
      </c>
      <c r="C20" s="3">
        <f>0</f>
        <v/>
      </c>
      <c r="D20" s="2" t="n"/>
      <c r="E20" s="2" t="n"/>
      <c r="F20" s="2" t="n"/>
      <c r="G20" s="2">
        <f>Forecast_Base!Q$4</f>
        <v/>
      </c>
      <c r="H20" s="3">
        <f>Forecast_Base!Q$9</f>
        <v/>
      </c>
      <c r="I20" s="3">
        <f>Forecast_Base!Q$17</f>
        <v/>
      </c>
      <c r="J20" s="2" t="n"/>
      <c r="K20" s="2" t="n"/>
      <c r="L20" s="2" t="n"/>
      <c r="M20" s="2" t="n"/>
      <c r="N20" s="2" t="n"/>
    </row>
    <row r="21">
      <c r="A21" s="2">
        <f>Forecast_Base!H$4</f>
        <v/>
      </c>
      <c r="B21" s="3">
        <f>Forecast_Base!H$19</f>
        <v/>
      </c>
      <c r="C21" s="3">
        <f>0</f>
        <v/>
      </c>
      <c r="D21" s="2" t="n"/>
      <c r="E21" s="2" t="n"/>
      <c r="F21" s="2" t="n"/>
      <c r="G21" s="2">
        <f>Forecast_Base!R$4</f>
        <v/>
      </c>
      <c r="H21" s="3">
        <f>Forecast_Base!R$9</f>
        <v/>
      </c>
      <c r="I21" s="3">
        <f>Forecast_Base!R$17</f>
        <v/>
      </c>
      <c r="J21" s="2" t="n"/>
      <c r="K21" s="2" t="n"/>
      <c r="L21" s="2" t="n"/>
      <c r="M21" s="2" t="n"/>
      <c r="N21" s="2" t="n"/>
    </row>
    <row r="22">
      <c r="A22" s="2">
        <f>Forecast_Base!I$4</f>
        <v/>
      </c>
      <c r="B22" s="3">
        <f>Forecast_Base!I$19</f>
        <v/>
      </c>
      <c r="C22" s="3">
        <f>0</f>
        <v/>
      </c>
      <c r="D22" s="2" t="n"/>
      <c r="E22" s="2" t="n"/>
      <c r="F22" s="2" t="n"/>
      <c r="G22" s="2">
        <f>Forecast_Base!S$4</f>
        <v/>
      </c>
      <c r="H22" s="3">
        <f>Forecast_Base!S$9</f>
        <v/>
      </c>
      <c r="I22" s="3">
        <f>Forecast_Base!S$17</f>
        <v/>
      </c>
      <c r="J22" s="2" t="n"/>
      <c r="K22" s="2" t="n"/>
      <c r="L22" s="2" t="n"/>
      <c r="M22" s="2" t="n"/>
      <c r="N22" s="2" t="n"/>
    </row>
    <row r="23">
      <c r="A23" s="2">
        <f>Forecast_Base!J$4</f>
        <v/>
      </c>
      <c r="B23" s="3">
        <f>Forecast_Base!J$19</f>
        <v/>
      </c>
      <c r="C23" s="3">
        <f>0</f>
        <v/>
      </c>
      <c r="D23" s="2" t="n"/>
      <c r="E23" s="2" t="n"/>
      <c r="F23" s="2" t="n"/>
      <c r="G23" s="2">
        <f>Forecast_Base!T$4</f>
        <v/>
      </c>
      <c r="H23" s="3">
        <f>Forecast_Base!T$9</f>
        <v/>
      </c>
      <c r="I23" s="3">
        <f>Forecast_Base!T$17</f>
        <v/>
      </c>
      <c r="J23" s="2" t="n"/>
      <c r="K23" s="2" t="n"/>
      <c r="L23" s="2" t="n"/>
      <c r="M23" s="2" t="n"/>
      <c r="N23" s="2" t="n"/>
    </row>
    <row r="24">
      <c r="A24" s="2">
        <f>Forecast_Base!K$4</f>
        <v/>
      </c>
      <c r="B24" s="3">
        <f>Forecast_Base!K$19</f>
        <v/>
      </c>
      <c r="C24" s="3">
        <f>0</f>
        <v/>
      </c>
      <c r="D24" s="2" t="n"/>
      <c r="E24" s="2" t="n"/>
      <c r="F24" s="2" t="n"/>
      <c r="G24" s="2">
        <f>Forecast_Base!U$4</f>
        <v/>
      </c>
      <c r="H24" s="3">
        <f>Forecast_Base!U$9</f>
        <v/>
      </c>
      <c r="I24" s="3">
        <f>Forecast_Base!U$17</f>
        <v/>
      </c>
      <c r="J24" s="2" t="n"/>
      <c r="K24" s="2" t="n"/>
      <c r="L24" s="2" t="n"/>
      <c r="M24" s="2" t="n"/>
      <c r="N24" s="2" t="n"/>
    </row>
    <row r="25">
      <c r="A25" s="2">
        <f>Forecast_Base!L$4</f>
        <v/>
      </c>
      <c r="B25" s="3">
        <f>Forecast_Base!L$19</f>
        <v/>
      </c>
      <c r="C25" s="3">
        <f>0</f>
        <v/>
      </c>
      <c r="D25" s="2" t="n"/>
      <c r="E25" s="2" t="n"/>
      <c r="F25" s="2" t="n"/>
      <c r="G25" s="2">
        <f>Forecast_Base!V$4</f>
        <v/>
      </c>
      <c r="H25" s="3">
        <f>Forecast_Base!V$9</f>
        <v/>
      </c>
      <c r="I25" s="3">
        <f>Forecast_Base!V$17</f>
        <v/>
      </c>
      <c r="J25" s="2" t="n"/>
      <c r="K25" s="2" t="n"/>
      <c r="L25" s="2" t="n"/>
      <c r="M25" s="2" t="n"/>
      <c r="N25" s="2" t="n"/>
    </row>
    <row r="26">
      <c r="A26" s="2">
        <f>Forecast_Base!M$4</f>
        <v/>
      </c>
      <c r="B26" s="3">
        <f>Forecast_Base!M$19</f>
        <v/>
      </c>
      <c r="C26" s="3">
        <f>0</f>
        <v/>
      </c>
      <c r="D26" s="2" t="n"/>
      <c r="E26" s="2" t="n"/>
      <c r="F26" s="2" t="n"/>
      <c r="G26" s="2">
        <f>Forecast_Base!W$4</f>
        <v/>
      </c>
      <c r="H26" s="3">
        <f>Forecast_Base!W$9</f>
        <v/>
      </c>
      <c r="I26" s="3">
        <f>Forecast_Base!W$17</f>
        <v/>
      </c>
      <c r="J26" s="2" t="n"/>
      <c r="K26" s="2" t="n"/>
      <c r="L26" s="2" t="n"/>
      <c r="M26" s="2" t="n"/>
      <c r="N26" s="2" t="n"/>
    </row>
    <row r="27">
      <c r="A27" s="2">
        <f>Forecast_Base!N$4</f>
        <v/>
      </c>
      <c r="B27" s="3">
        <f>Forecast_Base!N$19</f>
        <v/>
      </c>
      <c r="C27" s="3">
        <f>0</f>
        <v/>
      </c>
      <c r="D27" s="2" t="n"/>
      <c r="E27" s="2" t="n"/>
      <c r="F27" s="2" t="n"/>
      <c r="G27" s="2">
        <f>Forecast_Base!X$4</f>
        <v/>
      </c>
      <c r="H27" s="3">
        <f>Forecast_Base!X$9</f>
        <v/>
      </c>
      <c r="I27" s="3">
        <f>Forecast_Base!X$17</f>
        <v/>
      </c>
      <c r="J27" s="2" t="n"/>
      <c r="K27" s="2" t="n"/>
      <c r="L27" s="2" t="n"/>
      <c r="M27" s="2" t="n"/>
      <c r="N27" s="2" t="n"/>
    </row>
    <row r="28">
      <c r="A28" s="2">
        <f>Forecast_Base!O$4</f>
        <v/>
      </c>
      <c r="B28" s="3">
        <f>Forecast_Base!O$19</f>
        <v/>
      </c>
      <c r="C28" s="3">
        <f>0</f>
        <v/>
      </c>
      <c r="D28" s="2" t="n"/>
      <c r="E28" s="2" t="n"/>
      <c r="F28" s="2" t="n"/>
      <c r="G28" s="2">
        <f>Forecast_Base!Y$4</f>
        <v/>
      </c>
      <c r="H28" s="3">
        <f>Forecast_Base!Y$9</f>
        <v/>
      </c>
      <c r="I28" s="3">
        <f>Forecast_Base!Y$17</f>
        <v/>
      </c>
      <c r="J28" s="2" t="n"/>
      <c r="K28" s="2" t="n"/>
      <c r="L28" s="2" t="n"/>
      <c r="M28" s="2" t="n"/>
      <c r="N28" s="2" t="n"/>
    </row>
    <row r="29">
      <c r="A29" s="2">
        <f>Forecast_Base!P$4</f>
        <v/>
      </c>
      <c r="B29" s="3">
        <f>Forecast_Base!P$19</f>
        <v/>
      </c>
      <c r="C29" s="3">
        <f>0</f>
        <v/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>
        <f>Forecast_Base!Q$4</f>
        <v/>
      </c>
      <c r="B30" s="3">
        <f>Forecast_Base!Q$19</f>
        <v/>
      </c>
      <c r="C30" s="3">
        <f>0</f>
        <v/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>
        <f>Forecast_Base!R$4</f>
        <v/>
      </c>
      <c r="B31" s="3">
        <f>Forecast_Base!R$19</f>
        <v/>
      </c>
      <c r="C31" s="3">
        <f>0</f>
        <v/>
      </c>
      <c r="D31" s="2" t="n"/>
      <c r="E31" s="2" t="n"/>
      <c r="F31" s="2" t="n"/>
      <c r="G31" s="2" t="n"/>
      <c r="H31" s="2" t="n"/>
      <c r="I31" s="2" t="n"/>
      <c r="J31" s="21" t="inlineStr">
        <is>
          <t>Escenario</t>
        </is>
      </c>
      <c r="K31" s="21" t="inlineStr">
        <is>
          <t>EBITDA M12</t>
        </is>
      </c>
      <c r="L31" s="21" t="inlineStr">
        <is>
          <t>Lectura</t>
        </is>
      </c>
      <c r="M31" s="21" t="inlineStr">
        <is>
          <t>Precio/h</t>
        </is>
      </c>
      <c r="N31" s="21" t="inlineStr">
        <is>
          <t>Churn</t>
        </is>
      </c>
    </row>
    <row r="32" ht="45" customHeight="1">
      <c r="A32" s="2">
        <f>Forecast_Base!S$4</f>
        <v/>
      </c>
      <c r="B32" s="3">
        <f>Forecast_Base!S$19</f>
        <v/>
      </c>
      <c r="C32" s="3">
        <f>0</f>
        <v/>
      </c>
      <c r="D32" s="2" t="n"/>
      <c r="E32" s="2" t="n"/>
      <c r="F32" s="2" t="n"/>
      <c r="G32" s="2" t="n"/>
      <c r="H32" s="2" t="n"/>
      <c r="I32" s="2" t="n"/>
      <c r="J32" s="2">
        <f>Escenarios!A5</f>
        <v/>
      </c>
      <c r="K32" s="3">
        <f>Escenarios!I5</f>
        <v/>
      </c>
      <c r="L32" s="4">
        <f>Escenarios!K5</f>
        <v/>
      </c>
      <c r="M32" s="3">
        <f>Escenarios!B5</f>
        <v/>
      </c>
      <c r="N32" s="23">
        <f>Escenarios!F5</f>
        <v/>
      </c>
    </row>
    <row r="33" ht="60" customHeight="1">
      <c r="A33" s="2">
        <f>Forecast_Base!T$4</f>
        <v/>
      </c>
      <c r="B33" s="3">
        <f>Forecast_Base!T$19</f>
        <v/>
      </c>
      <c r="C33" s="3">
        <f>0</f>
        <v/>
      </c>
      <c r="D33" s="2" t="n"/>
      <c r="E33" s="2" t="n"/>
      <c r="F33" s="2" t="n"/>
      <c r="G33" s="2" t="n"/>
      <c r="H33" s="2" t="n"/>
      <c r="I33" s="2" t="n"/>
      <c r="J33" s="2">
        <f>Escenarios!A6</f>
        <v/>
      </c>
      <c r="K33" s="3">
        <f>Escenarios!I6</f>
        <v/>
      </c>
      <c r="L33" s="4">
        <f>Escenarios!K6</f>
        <v/>
      </c>
      <c r="M33" s="3">
        <f>Escenarios!B6</f>
        <v/>
      </c>
      <c r="N33" s="23">
        <f>Escenarios!F6</f>
        <v/>
      </c>
    </row>
    <row r="34" ht="45" customHeight="1">
      <c r="A34" s="2">
        <f>Forecast_Base!U$4</f>
        <v/>
      </c>
      <c r="B34" s="3">
        <f>Forecast_Base!U$19</f>
        <v/>
      </c>
      <c r="C34" s="3">
        <f>0</f>
        <v/>
      </c>
      <c r="D34" s="2" t="n"/>
      <c r="E34" s="2" t="n"/>
      <c r="F34" s="2" t="n"/>
      <c r="G34" s="2" t="n"/>
      <c r="H34" s="2" t="n"/>
      <c r="I34" s="2" t="n"/>
      <c r="J34" s="2">
        <f>Escenarios!A7</f>
        <v/>
      </c>
      <c r="K34" s="3">
        <f>Escenarios!I7</f>
        <v/>
      </c>
      <c r="L34" s="4">
        <f>Escenarios!K7</f>
        <v/>
      </c>
      <c r="M34" s="3">
        <f>Escenarios!B7</f>
        <v/>
      </c>
      <c r="N34" s="23">
        <f>Escenarios!F7</f>
        <v/>
      </c>
    </row>
    <row r="35">
      <c r="A35" s="2">
        <f>Forecast_Base!V$4</f>
        <v/>
      </c>
      <c r="B35" s="3">
        <f>Forecast_Base!V$19</f>
        <v/>
      </c>
      <c r="C35" s="3">
        <f>0</f>
        <v/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>
        <f>Forecast_Base!W$4</f>
        <v/>
      </c>
      <c r="B36" s="3">
        <f>Forecast_Base!W$19</f>
        <v/>
      </c>
      <c r="C36" s="3">
        <f>0</f>
        <v/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>
        <f>Forecast_Base!X$4</f>
        <v/>
      </c>
      <c r="B37" s="3">
        <f>Forecast_Base!X$19</f>
        <v/>
      </c>
      <c r="C37" s="3">
        <f>0</f>
        <v/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>
        <f>Forecast_Base!Y$4</f>
        <v/>
      </c>
      <c r="B38" s="3">
        <f>Forecast_Base!Y$19</f>
        <v/>
      </c>
      <c r="C38" s="3">
        <f>0</f>
        <v/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1" t="inlineStr">
        <is>
          <t>Costo</t>
        </is>
      </c>
      <c r="B41" s="21" t="inlineStr">
        <is>
          <t>Monto mensual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inlineStr">
        <is>
          <t>Pago tutores</t>
        </is>
      </c>
      <c r="B42" s="3">
        <f>Forecast_Base!M10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Pauta</t>
        </is>
      </c>
      <c r="B43" s="3">
        <f>Forecast_Base!M15</f>
        <v/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Otros fijos</t>
        </is>
      </c>
      <c r="B44" s="3">
        <f>Forecast_Base!M16</f>
        <v/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Fees + materiales</t>
        </is>
      </c>
      <c r="B45" s="3">
        <f>Forecast_Base!M11+Forecast_Base!M12</f>
        <v/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</sheetData>
  <mergeCells count="2">
    <mergeCell ref="A2:N2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10" defaultColWidth="8.83203125" defaultRowHeight="14"/>
  <cols>
    <col width="28.83203125" customWidth="1" min="1" max="1"/>
    <col width="14.1640625" customWidth="1" min="2" max="3"/>
    <col width="15.33203125" customWidth="1" min="4" max="4"/>
    <col width="21.5" customWidth="1" min="5" max="5"/>
    <col width="43.5" customWidth="1" min="6" max="6"/>
  </cols>
  <sheetData>
    <row r="1" ht="25.5" customHeight="1">
      <c r="A1" s="19" t="inlineStr">
        <is>
          <t>Centro de Tutorías - Supuestos editables</t>
        </is>
      </c>
      <c r="G1" s="18" t="n"/>
      <c r="H1" s="18" t="n"/>
      <c r="I1" s="18" t="n"/>
      <c r="J1" s="18" t="n"/>
      <c r="K1" s="18" t="n"/>
      <c r="L1" s="18" t="n"/>
      <c r="M1" s="18" t="n"/>
      <c r="N1" s="18" t="n"/>
    </row>
    <row r="2" ht="18" customHeight="1">
      <c r="A2" s="20" t="inlineStr">
        <is>
          <t>Las celdas amarillas son inputs. El caso base usa precios y margen definidos en Notion.</t>
        </is>
      </c>
    </row>
    <row r="3">
      <c r="A3" s="2" t="n"/>
      <c r="B3" s="2" t="n"/>
      <c r="C3" s="2" t="n"/>
      <c r="D3" s="2" t="n"/>
      <c r="E3" s="2" t="n"/>
      <c r="F3" s="2" t="n"/>
    </row>
    <row r="4" ht="15" customHeight="1">
      <c r="A4" s="21" t="inlineStr">
        <is>
          <t>Bloque</t>
        </is>
      </c>
      <c r="B4" s="21" t="inlineStr">
        <is>
          <t>Variable</t>
        </is>
      </c>
      <c r="C4" s="21" t="inlineStr">
        <is>
          <t>Valor</t>
        </is>
      </c>
      <c r="D4" s="21" t="inlineStr">
        <is>
          <t>Unidad</t>
        </is>
      </c>
      <c r="E4" s="21" t="inlineStr">
        <is>
          <t>Fuente</t>
        </is>
      </c>
      <c r="F4" s="21" t="inlineStr">
        <is>
          <t>Notas</t>
        </is>
      </c>
    </row>
    <row r="5" ht="26.25" customHeight="1">
      <c r="A5" s="4" t="inlineStr">
        <is>
          <t>Modelo</t>
        </is>
      </c>
      <c r="B5" s="4" t="inlineStr">
        <is>
          <t>Tipo de cambio USD/GTQ</t>
        </is>
      </c>
      <c r="C5" s="7" t="n">
        <v>7.63</v>
      </c>
      <c r="D5" s="4" t="inlineStr">
        <is>
          <t>Q / USD</t>
        </is>
      </c>
      <c r="E5" s="4" t="inlineStr">
        <is>
          <t>S08</t>
        </is>
      </c>
      <c r="F5" s="4" t="inlineStr">
        <is>
          <t>Banguat / referencia de mayo 2026; editable para compras de pauta en USD.</t>
        </is>
      </c>
    </row>
    <row r="6" ht="26.25" customHeight="1">
      <c r="A6" s="4" t="inlineStr">
        <is>
          <t>Precios</t>
        </is>
      </c>
      <c r="B6" s="4" t="inlineStr">
        <is>
          <t>Precio virtual por hora</t>
        </is>
      </c>
      <c r="C6" s="8" t="n">
        <v>200</v>
      </c>
      <c r="D6" s="4" t="inlineStr">
        <is>
          <t>Q/hora</t>
        </is>
      </c>
      <c r="E6" s="4" t="inlineStr">
        <is>
          <t>N03</t>
        </is>
      </c>
      <c r="F6" s="4" t="inlineStr">
        <is>
          <t>Precio objetivo definido en Notion.</t>
        </is>
      </c>
    </row>
    <row r="7" ht="26.25" customHeight="1">
      <c r="A7" s="4" t="inlineStr">
        <is>
          <t>Precios</t>
        </is>
      </c>
      <c r="B7" s="4" t="inlineStr">
        <is>
          <t>Precio presencial por hora</t>
        </is>
      </c>
      <c r="C7" s="8" t="n">
        <v>275</v>
      </c>
      <c r="D7" s="4" t="inlineStr">
        <is>
          <t>Q/hora</t>
        </is>
      </c>
      <c r="E7" s="4" t="inlineStr">
        <is>
          <t>N03</t>
        </is>
      </c>
      <c r="F7" s="4" t="inlineStr">
        <is>
          <t>Precio objetivo definido en Notion.</t>
        </is>
      </c>
    </row>
    <row r="8" ht="26.25" customHeight="1">
      <c r="A8" s="4" t="inlineStr">
        <is>
          <t>Precios</t>
        </is>
      </c>
      <c r="B8" s="4" t="inlineStr">
        <is>
          <t>Mix virtual</t>
        </is>
      </c>
      <c r="C8" s="24" t="n">
        <v>0.8</v>
      </c>
      <c r="D8" s="4" t="inlineStr">
        <is>
          <t>% de horas</t>
        </is>
      </c>
      <c r="E8" s="4" t="inlineStr">
        <is>
          <t>A01</t>
        </is>
      </c>
      <c r="F8" s="4" t="inlineStr">
        <is>
          <t>Supuesto operativo inicial: foco virtual para escalar con menor complejidad.</t>
        </is>
      </c>
    </row>
    <row r="9" ht="15" customHeight="1">
      <c r="A9" s="4" t="inlineStr">
        <is>
          <t>Precios</t>
        </is>
      </c>
      <c r="B9" s="4" t="inlineStr">
        <is>
          <t>Mix presencial</t>
        </is>
      </c>
      <c r="C9" s="24" t="n">
        <v>0.2</v>
      </c>
      <c r="D9" s="4" t="inlineStr">
        <is>
          <t>% de horas</t>
        </is>
      </c>
      <c r="E9" s="4" t="inlineStr">
        <is>
          <t>A01</t>
        </is>
      </c>
      <c r="F9" s="4" t="inlineStr">
        <is>
          <t>Complemento premium para zonas objetivo.</t>
        </is>
      </c>
    </row>
    <row r="10" ht="15" customHeight="1">
      <c r="A10" s="4" t="inlineStr">
        <is>
          <t>Costos variables</t>
        </is>
      </c>
      <c r="B10" s="4" t="inlineStr">
        <is>
          <t>Pago a tutores</t>
        </is>
      </c>
      <c r="C10" s="24" t="n">
        <v>0.7</v>
      </c>
      <c r="D10" s="4" t="inlineStr">
        <is>
          <t>% ingresos</t>
        </is>
      </c>
      <c r="E10" s="4" t="inlineStr">
        <is>
          <t>N03</t>
        </is>
      </c>
      <c r="F10" s="4" t="inlineStr">
        <is>
          <t>Distribución Notion: 70% tutor / 30% Centro.</t>
        </is>
      </c>
    </row>
    <row r="11" ht="26.25" customHeight="1">
      <c r="A11" s="4" t="inlineStr">
        <is>
          <t>Costos variables</t>
        </is>
      </c>
      <c r="B11" s="4" t="inlineStr">
        <is>
          <t>Comisión pagos</t>
        </is>
      </c>
      <c r="C11" s="8" t="n">
        <v>0.03</v>
      </c>
      <c r="D11" s="4" t="inlineStr">
        <is>
          <t>% ingresos</t>
        </is>
      </c>
      <c r="E11" s="4" t="inlineStr">
        <is>
          <t>A02</t>
        </is>
      </c>
      <c r="F11" s="4" t="inlineStr">
        <is>
          <t>Supuesto para pasarela, transferencias y cobros digitales.</t>
        </is>
      </c>
    </row>
    <row r="12" ht="26.25" customHeight="1">
      <c r="A12" s="4" t="inlineStr">
        <is>
          <t>Costos variables</t>
        </is>
      </c>
      <c r="B12" s="4" t="inlineStr">
        <is>
          <t>Materiales por hora</t>
        </is>
      </c>
      <c r="C12" s="25" t="n">
        <v>5</v>
      </c>
      <c r="D12" s="4" t="inlineStr">
        <is>
          <t>Q/hora</t>
        </is>
      </c>
      <c r="E12" s="4" t="inlineStr">
        <is>
          <t>A03</t>
        </is>
      </c>
      <c r="F12" s="4" t="inlineStr">
        <is>
          <t>Plantillas, ejercicios, recursos digitales, seguimiento.</t>
        </is>
      </c>
    </row>
    <row r="13" ht="26.25" customHeight="1">
      <c r="A13" s="4" t="inlineStr">
        <is>
          <t>Demanda</t>
        </is>
      </c>
      <c r="B13" s="4" t="inlineStr">
        <is>
          <t>Horas por alumno al mes</t>
        </is>
      </c>
      <c r="C13" s="25" t="n">
        <v>6</v>
      </c>
      <c r="D13" s="4" t="inlineStr">
        <is>
          <t>horas</t>
        </is>
      </c>
      <c r="E13" s="4" t="inlineStr">
        <is>
          <t>A04</t>
        </is>
      </c>
      <c r="F13" s="4" t="inlineStr">
        <is>
          <t>Paquete promedio: 1-2 horas por semana según necesidad.</t>
        </is>
      </c>
    </row>
    <row r="14" ht="26.25" customHeight="1">
      <c r="A14" s="4" t="inlineStr">
        <is>
          <t>Demanda</t>
        </is>
      </c>
      <c r="B14" s="4" t="inlineStr">
        <is>
          <t>Alumnos nuevos mes 1</t>
        </is>
      </c>
      <c r="C14" s="24" t="n">
        <v>8</v>
      </c>
      <c r="D14" s="4" t="inlineStr">
        <is>
          <t>alumnos</t>
        </is>
      </c>
      <c r="E14" s="4" t="inlineStr">
        <is>
          <t>A05</t>
        </is>
      </c>
      <c r="F14" s="4" t="inlineStr">
        <is>
          <t>Ramp-up conservador con pauta y referidos.</t>
        </is>
      </c>
    </row>
    <row r="15" ht="39.5" customHeight="1">
      <c r="A15" s="4" t="inlineStr">
        <is>
          <t>Demanda</t>
        </is>
      </c>
      <c r="B15" s="4" t="inlineStr">
        <is>
          <t>Crecimiento mensual alumnos nuevos</t>
        </is>
      </c>
      <c r="C15" s="24" t="n">
        <v>0.1</v>
      </c>
      <c r="D15" s="4" t="inlineStr">
        <is>
          <t>%</t>
        </is>
      </c>
      <c r="E15" s="4" t="inlineStr">
        <is>
          <t>A05</t>
        </is>
      </c>
      <c r="F15" s="4" t="inlineStr">
        <is>
          <t>Mejora de campañas, referidos y alianzas.</t>
        </is>
      </c>
    </row>
    <row r="16" ht="26.25" customHeight="1">
      <c r="A16" s="4" t="inlineStr">
        <is>
          <t>Demanda</t>
        </is>
      </c>
      <c r="B16" s="4" t="inlineStr">
        <is>
          <t>Churn mensual</t>
        </is>
      </c>
      <c r="C16" s="8" t="n">
        <v>0.08</v>
      </c>
      <c r="D16" s="4" t="inlineStr">
        <is>
          <t>%</t>
        </is>
      </c>
      <c r="E16" s="4" t="inlineStr">
        <is>
          <t>A06</t>
        </is>
      </c>
      <c r="F16" s="4" t="inlineStr">
        <is>
          <t>Rotación por estacionalidad académica y necesidades puntuales.</t>
        </is>
      </c>
    </row>
    <row r="17" ht="26.25" customHeight="1">
      <c r="A17" s="4" t="inlineStr">
        <is>
          <t>Marketing</t>
        </is>
      </c>
      <c r="B17" s="4" t="inlineStr">
        <is>
          <t>Pauta mensual base</t>
        </is>
      </c>
      <c r="C17" s="24" t="n">
        <v>400</v>
      </c>
      <c r="D17" s="4" t="inlineStr">
        <is>
          <t>USD/mes</t>
        </is>
      </c>
      <c r="E17" s="4" t="inlineStr">
        <is>
          <t>N04</t>
        </is>
      </c>
      <c r="F17" s="4" t="inlineStr">
        <is>
          <t>Notion sugiere USD 300-500/mes; base usa punto medio.</t>
        </is>
      </c>
    </row>
    <row r="18" ht="39.5" customHeight="1">
      <c r="A18" s="4" t="inlineStr">
        <is>
          <t>Marketing</t>
        </is>
      </c>
      <c r="B18" s="4" t="inlineStr">
        <is>
          <t>Crecimiento pauta cada 6 meses</t>
        </is>
      </c>
      <c r="C18" s="24" t="n">
        <v>0.12</v>
      </c>
      <c r="D18" s="4" t="inlineStr">
        <is>
          <t>%</t>
        </is>
      </c>
      <c r="E18" s="4" t="inlineStr">
        <is>
          <t>A07</t>
        </is>
      </c>
      <c r="F18" s="4" t="inlineStr">
        <is>
          <t>Escala gradual si se sostienen leads y conversión.</t>
        </is>
      </c>
    </row>
    <row r="19" ht="26.25" customHeight="1">
      <c r="A19" s="4" t="inlineStr">
        <is>
          <t>Marketing</t>
        </is>
      </c>
      <c r="B19" s="4" t="inlineStr">
        <is>
          <t>CPL estimado</t>
        </is>
      </c>
      <c r="C19" s="8" t="n">
        <v>75</v>
      </c>
      <c r="D19" s="4" t="inlineStr">
        <is>
          <t>Q/lead</t>
        </is>
      </c>
      <c r="E19" s="4" t="inlineStr">
        <is>
          <t>S03</t>
        </is>
      </c>
      <c r="F19" s="4" t="inlineStr">
        <is>
          <t>Rango construido con CPC local y embudo educativo.</t>
        </is>
      </c>
    </row>
    <row r="20" ht="26.25" customHeight="1">
      <c r="A20" s="4" t="inlineStr">
        <is>
          <t>Marketing</t>
        </is>
      </c>
      <c r="B20" s="4" t="inlineStr">
        <is>
          <t>Conversión lead a cliente</t>
        </is>
      </c>
      <c r="C20" s="8" t="n">
        <v>0.08</v>
      </c>
      <c r="D20" s="4" t="inlineStr">
        <is>
          <t>%</t>
        </is>
      </c>
      <c r="E20" s="4" t="inlineStr">
        <is>
          <t>A08</t>
        </is>
      </c>
      <c r="F20" s="4" t="inlineStr">
        <is>
          <t>Incluye WhatsApp, diagnóstico y seguimiento.</t>
        </is>
      </c>
    </row>
    <row r="21" ht="26.25" customHeight="1">
      <c r="A21" s="4" t="inlineStr">
        <is>
          <t>Costos fijos</t>
        </is>
      </c>
      <c r="B21" s="4" t="inlineStr">
        <is>
          <t>Coordinación / administración</t>
        </is>
      </c>
      <c r="C21" s="8" t="n">
        <v>3000</v>
      </c>
      <c r="D21" s="4" t="inlineStr">
        <is>
          <t>Q/mes</t>
        </is>
      </c>
      <c r="E21" s="4" t="inlineStr">
        <is>
          <t>A09</t>
        </is>
      </c>
      <c r="F21" s="4" t="inlineStr">
        <is>
          <t>Atención de WhatsApp, agenda, seguimiento y soporte.</t>
        </is>
      </c>
    </row>
    <row r="22" ht="26.25" customHeight="1">
      <c r="A22" s="4" t="inlineStr">
        <is>
          <t>Costos fijos</t>
        </is>
      </c>
      <c r="B22" s="4" t="inlineStr">
        <is>
          <t>Software y plataformas</t>
        </is>
      </c>
      <c r="C22" s="8" t="n">
        <v>600</v>
      </c>
      <c r="D22" s="4" t="inlineStr">
        <is>
          <t>Q/mes</t>
        </is>
      </c>
      <c r="E22" s="4" t="inlineStr">
        <is>
          <t>A10</t>
        </is>
      </c>
      <c r="F22" s="4" t="inlineStr">
        <is>
          <t>Zoom/Meet, Canva, WhatsApp tools, storage, dominios.</t>
        </is>
      </c>
    </row>
    <row r="23" ht="26.25" customHeight="1">
      <c r="A23" s="4" t="inlineStr">
        <is>
          <t>Costos fijos</t>
        </is>
      </c>
      <c r="B23" s="4" t="inlineStr">
        <is>
          <t>Contenido / diseño</t>
        </is>
      </c>
      <c r="C23" s="8" t="n">
        <v>1200</v>
      </c>
      <c r="D23" s="4" t="inlineStr">
        <is>
          <t>Q/mes</t>
        </is>
      </c>
      <c r="E23" s="4" t="inlineStr">
        <is>
          <t>A11</t>
        </is>
      </c>
      <c r="F23" s="4" t="inlineStr">
        <is>
          <t>Creatividades, edición breve, parrilla de contenido.</t>
        </is>
      </c>
    </row>
    <row r="24" ht="26.25" customHeight="1">
      <c r="A24" s="4" t="inlineStr">
        <is>
          <t>Costos fijos</t>
        </is>
      </c>
      <c r="B24" s="4" t="inlineStr">
        <is>
          <t>Contabilidad / legal</t>
        </is>
      </c>
      <c r="C24" s="8" t="n">
        <v>500</v>
      </c>
      <c r="D24" s="4" t="inlineStr">
        <is>
          <t>Q/mes</t>
        </is>
      </c>
      <c r="E24" s="4" t="inlineStr">
        <is>
          <t>A12</t>
        </is>
      </c>
      <c r="F24" s="4" t="inlineStr">
        <is>
          <t>Gestión contable básica.</t>
        </is>
      </c>
    </row>
    <row r="25" ht="15" customHeight="1">
      <c r="A25" s="4" t="inlineStr">
        <is>
          <t>Costos fijos</t>
        </is>
      </c>
      <c r="B25" s="4" t="inlineStr">
        <is>
          <t>Misceláneos</t>
        </is>
      </c>
      <c r="C25" s="11" t="n">
        <v>500</v>
      </c>
      <c r="D25" s="4" t="inlineStr">
        <is>
          <t>Q/mes</t>
        </is>
      </c>
      <c r="E25" s="4" t="inlineStr">
        <is>
          <t>A13</t>
        </is>
      </c>
      <c r="F25" s="4" t="inlineStr">
        <is>
          <t>Soporte operativo y contingencias menores.</t>
        </is>
      </c>
    </row>
    <row r="26" ht="26.25" customHeight="1">
      <c r="A26" s="4" t="inlineStr">
        <is>
          <t>Inversión</t>
        </is>
      </c>
      <c r="B26" s="4" t="inlineStr">
        <is>
          <t>Inversión inicial estimada</t>
        </is>
      </c>
      <c r="C26" s="11" t="n">
        <v>24500</v>
      </c>
      <c r="D26" s="4" t="inlineStr">
        <is>
          <t>Q</t>
        </is>
      </c>
      <c r="E26" s="4" t="inlineStr">
        <is>
          <t>A14</t>
        </is>
      </c>
      <c r="F26" s="4" t="inlineStr">
        <is>
          <t>Detalle en hoja Inversion_Costos.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10" defaultColWidth="8.83203125" defaultRowHeight="14"/>
  <cols>
    <col width="20.1640625" customWidth="1" min="1" max="1"/>
    <col width="38.6640625" customWidth="1" min="2" max="2"/>
    <col width="16.5" customWidth="1" min="3" max="4"/>
    <col width="21.5" customWidth="1" min="5" max="5"/>
    <col width="20.1640625" customWidth="1" min="6" max="6"/>
    <col width="21.5" customWidth="1" min="7" max="7"/>
    <col width="43.5" customWidth="1" min="8" max="8"/>
  </cols>
  <sheetData>
    <row r="1" ht="25.5" customHeight="1">
      <c r="A1" s="19" t="inlineStr">
        <is>
          <t>Análisis de mercado y señales comerciales</t>
        </is>
      </c>
      <c r="I1" s="18" t="n"/>
      <c r="J1" s="18" t="n"/>
      <c r="K1" s="18" t="n"/>
      <c r="L1" s="18" t="n"/>
      <c r="M1" s="18" t="n"/>
      <c r="N1" s="18" t="n"/>
    </row>
    <row r="2" ht="18" customHeight="1">
      <c r="A2" s="20" t="inlineStr">
        <is>
          <t>Resumen de demanda, competencia, cliente objetivo y canales para Ciudad de Guatemala.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15" customHeight="1">
      <c r="A4" s="21" t="inlineStr">
        <is>
          <t>Tema</t>
        </is>
      </c>
      <c r="B4" s="21" t="inlineStr">
        <is>
          <t>Insight</t>
        </is>
      </c>
      <c r="C4" s="21" t="inlineStr">
        <is>
          <t>Dato / Rango</t>
        </is>
      </c>
      <c r="D4" s="21" t="inlineStr">
        <is>
          <t>Implicación</t>
        </is>
      </c>
      <c r="E4" s="21" t="inlineStr">
        <is>
          <t>Fuente</t>
        </is>
      </c>
      <c r="F4" s="21" t="inlineStr">
        <is>
          <t>Confianza</t>
        </is>
      </c>
      <c r="G4" s="21" t="inlineStr">
        <is>
          <t>Acción recomendada</t>
        </is>
      </c>
      <c r="H4" s="21" t="inlineStr">
        <is>
          <t>Notas</t>
        </is>
      </c>
    </row>
    <row r="5" ht="39.5" customHeight="1">
      <c r="A5" s="4" t="inlineStr">
        <is>
          <t>Segmento</t>
        </is>
      </c>
      <c r="B5" s="4" t="inlineStr">
        <is>
          <t>Padres de 30-50 años en zonas 10, 14, 15, 16 y Carretera a El Salvador.</t>
        </is>
      </c>
      <c r="C5" s="4" t="inlineStr">
        <is>
          <t>202.8k-238.6k público estimado</t>
        </is>
      </c>
      <c r="D5" s="4" t="inlineStr">
        <is>
          <t>Nicho suficiente para piloto pagado y referidos.</t>
        </is>
      </c>
      <c r="E5" s="4" t="inlineStr">
        <is>
          <t>N08</t>
        </is>
      </c>
      <c r="F5" s="4" t="inlineStr">
        <is>
          <t>Alta</t>
        </is>
      </c>
      <c r="G5" s="4" t="inlineStr">
        <is>
          <t>Lanzar prueba en Meta + WhatsApp</t>
        </is>
      </c>
      <c r="H5" s="4" t="inlineStr">
        <is>
          <t>Dato de segmentación de campaña en Notion.</t>
        </is>
      </c>
    </row>
    <row r="6" ht="66" customHeight="1">
      <c r="A6" s="4" t="inlineStr">
        <is>
          <t>Necesidad</t>
        </is>
      </c>
      <c r="B6" s="4" t="inlineStr">
        <is>
          <t>Refuerzo en matemáticas, estadística, física y materias críticas.</t>
        </is>
      </c>
      <c r="C6" s="4" t="inlineStr">
        <is>
          <t>Primaria a primeros años de universidad</t>
        </is>
      </c>
      <c r="D6" s="4" t="inlineStr">
        <is>
          <t>Oferta debe agruparse por urgencia: exámenes, nivelación, promedio.</t>
        </is>
      </c>
      <c r="E6" s="4" t="inlineStr">
        <is>
          <t>N01/N06</t>
        </is>
      </c>
      <c r="F6" s="4" t="inlineStr">
        <is>
          <t>Alta</t>
        </is>
      </c>
      <c r="G6" s="4" t="inlineStr">
        <is>
          <t>Crear paquetes por objetivo</t>
        </is>
      </c>
      <c r="H6" s="4" t="inlineStr">
        <is>
          <t>La ansiedad de padres ante notas es el disparador principal.</t>
        </is>
      </c>
    </row>
    <row r="7" ht="52.75" customHeight="1">
      <c r="A7" s="4" t="inlineStr">
        <is>
          <t>Precio competitivo</t>
        </is>
      </c>
      <c r="B7" s="4" t="inlineStr">
        <is>
          <t>Competidor Tutorías GT cobra Q109 virtual y Q154 presencial.</t>
        </is>
      </c>
      <c r="C7" s="4" t="inlineStr">
        <is>
          <t>Q109-Q154/h</t>
        </is>
      </c>
      <c r="D7" s="4" t="inlineStr">
        <is>
          <t>El precio objetivo es premium; requiere prueba, seguimiento y evidencia.</t>
        </is>
      </c>
      <c r="E7" s="4" t="inlineStr">
        <is>
          <t>N02</t>
        </is>
      </c>
      <c r="F7" s="4" t="inlineStr">
        <is>
          <t>Alta</t>
        </is>
      </c>
      <c r="G7" s="4" t="inlineStr">
        <is>
          <t>Justificar con diagnóstico y reportes</t>
        </is>
      </c>
      <c r="H7" s="4" t="inlineStr">
        <is>
          <t>No competir solo por precio.</t>
        </is>
      </c>
    </row>
    <row r="8" ht="39.5" customHeight="1">
      <c r="A8" s="4" t="inlineStr">
        <is>
          <t>Precio de mercado</t>
        </is>
      </c>
      <c r="B8" s="4" t="inlineStr">
        <is>
          <t>Plataformas y anuncios muestran rangos amplios de Q50-Q200/h.</t>
        </is>
      </c>
      <c r="C8" s="4" t="inlineStr">
        <is>
          <t>Q80-Q200/h común</t>
        </is>
      </c>
      <c r="D8" s="4" t="inlineStr">
        <is>
          <t>Q225 virtual exige posicionamiento de alta calidad.</t>
        </is>
      </c>
      <c r="E8" s="4" t="inlineStr">
        <is>
          <t>S02/S04</t>
        </is>
      </c>
      <c r="F8" s="4" t="inlineStr">
        <is>
          <t>Media</t>
        </is>
      </c>
      <c r="G8" s="4" t="inlineStr">
        <is>
          <t>Usar paquetes y valor agregado</t>
        </is>
      </c>
      <c r="H8" s="4" t="inlineStr">
        <is>
          <t>Los tutores independientes presionan precio a la baja.</t>
        </is>
      </c>
    </row>
    <row r="9" ht="52.75" customHeight="1">
      <c r="A9" s="4" t="inlineStr">
        <is>
          <t>Presupuesto hogar</t>
        </is>
      </c>
      <c r="B9" s="4" t="inlineStr">
        <is>
          <t>Avatar en Notion estima disposición de pago mensual de USD 100-300, hasta USD 500 intensivo.</t>
        </is>
      </c>
      <c r="C9" s="4" t="inlineStr">
        <is>
          <t>Q763-Q2,289 base</t>
        </is>
      </c>
      <c r="D9" s="4" t="inlineStr">
        <is>
          <t>Paquetes mensuales de 4, 8 y 12 horas caben en rango.</t>
        </is>
      </c>
      <c r="E9" s="4" t="inlineStr">
        <is>
          <t>N05</t>
        </is>
      </c>
      <c r="F9" s="4" t="inlineStr">
        <is>
          <t>Media-Alta</t>
        </is>
      </c>
      <c r="G9" s="4" t="inlineStr">
        <is>
          <t>Ofrecer planes mensuales</t>
        </is>
      </c>
      <c r="H9" s="4" t="inlineStr">
        <is>
          <t>El precio por hora debe traducirse a progreso visible.</t>
        </is>
      </c>
    </row>
    <row r="10" ht="39.5" customHeight="1">
      <c r="A10" s="4" t="inlineStr">
        <is>
          <t>Canales</t>
        </is>
      </c>
      <c r="B10" s="4" t="inlineStr">
        <is>
          <t>Google capta intención; Meta y TikTok generan demanda y retargeting.</t>
        </is>
      </c>
      <c r="C10" s="4" t="inlineStr">
        <is>
          <t>50/30/20 sugerido</t>
        </is>
      </c>
      <c r="D10" s="4" t="inlineStr">
        <is>
          <t>Mezcla inicial balanceada con aprendizaje rápido.</t>
        </is>
      </c>
      <c r="E10" s="4" t="inlineStr">
        <is>
          <t>N04/N07</t>
        </is>
      </c>
      <c r="F10" s="4" t="inlineStr">
        <is>
          <t>Alta</t>
        </is>
      </c>
      <c r="G10" s="4" t="inlineStr">
        <is>
          <t>Medir CPL por canal</t>
        </is>
      </c>
      <c r="H10" s="4" t="inlineStr">
        <is>
          <t>WhatsApp debe cerrar la venta.</t>
        </is>
      </c>
    </row>
    <row r="11" ht="39.5" customHeight="1">
      <c r="A11" s="4" t="inlineStr">
        <is>
          <t>Pauta</t>
        </is>
      </c>
      <c r="B11" s="4" t="inlineStr">
        <is>
          <t>Google Ads Guatemala reporta CPC general de Q2.50-Q15 y presupuestos iniciales de Q1,500-Q5,000.</t>
        </is>
      </c>
      <c r="C11" s="4" t="inlineStr">
        <is>
          <t>Q1.5k-Q5.0k/mes</t>
        </is>
      </c>
      <c r="D11" s="4" t="inlineStr">
        <is>
          <t>Base de Q3.1k/mes es razonable para piloto.</t>
        </is>
      </c>
      <c r="E11" s="4" t="inlineStr">
        <is>
          <t>S03</t>
        </is>
      </c>
      <c r="F11" s="4" t="inlineStr">
        <is>
          <t>Media</t>
        </is>
      </c>
      <c r="G11" s="4" t="inlineStr">
        <is>
          <t>Probar keywords exactas</t>
        </is>
      </c>
      <c r="H11" s="4" t="inlineStr">
        <is>
          <t>El CPL real debe reemplazar el supuesto al mes 1.</t>
        </is>
      </c>
    </row>
    <row r="12" ht="52.75" customHeight="1">
      <c r="A12" s="4" t="inlineStr">
        <is>
          <t>Estacionalidad</t>
        </is>
      </c>
      <c r="B12" s="4" t="inlineStr">
        <is>
          <t>Picos esperados antes de exámenes, regreso a clases y cierre de año.</t>
        </is>
      </c>
      <c r="C12" s="4" t="inlineStr">
        <is>
          <t>Mar-Jun / Sep-Nov</t>
        </is>
      </c>
      <c r="D12" s="4" t="inlineStr">
        <is>
          <t>Forecast debe revisarse por calendario académico.</t>
        </is>
      </c>
      <c r="E12" s="4" t="inlineStr">
        <is>
          <t>N07/A15</t>
        </is>
      </c>
      <c r="F12" s="4" t="inlineStr">
        <is>
          <t>Media</t>
        </is>
      </c>
      <c r="G12" s="4" t="inlineStr">
        <is>
          <t>Campañas por temporada</t>
        </is>
      </c>
      <c r="H12" s="4" t="inlineStr">
        <is>
          <t>El modelo usa rampa lineal simplificada.</t>
        </is>
      </c>
    </row>
    <row r="13" ht="39.5" customHeight="1">
      <c r="A13" s="4" t="inlineStr">
        <is>
          <t>Diferenciación</t>
        </is>
      </c>
      <c r="B13" s="4" t="inlineStr">
        <is>
          <t>Padres valoran seguridad, personalización, flexibilidad y seguimiento.</t>
        </is>
      </c>
      <c r="C13" s="4" t="inlineStr">
        <is>
          <t>Deal-makers: resultados medibles</t>
        </is>
      </c>
      <c r="D13" s="4" t="inlineStr">
        <is>
          <t>Reportes de progreso sostienen precio y retención.</t>
        </is>
      </c>
      <c r="E13" s="4" t="inlineStr">
        <is>
          <t>N05/N06</t>
        </is>
      </c>
      <c r="F13" s="4" t="inlineStr">
        <is>
          <t>Alta</t>
        </is>
      </c>
      <c r="G13" s="4" t="inlineStr">
        <is>
          <t>Diseñar reporte post-sesión</t>
        </is>
      </c>
      <c r="H13" s="4" t="inlineStr">
        <is>
          <t>Convertir servicio en acompañamiento.</t>
        </is>
      </c>
    </row>
    <row r="14" ht="39.5" customHeight="1">
      <c r="A14" s="4" t="inlineStr">
        <is>
          <t>Riesgo</t>
        </is>
      </c>
      <c r="B14" s="4" t="inlineStr">
        <is>
          <t>Si el tutor no conecta o no hay resultados, el churn sube.</t>
        </is>
      </c>
      <c r="C14" s="4" t="inlineStr">
        <is>
          <t>Churn base 8% mensual</t>
        </is>
      </c>
      <c r="D14" s="4" t="inlineStr">
        <is>
          <t>La operación debe controlar calidad desde el inicio.</t>
        </is>
      </c>
      <c r="E14" s="4" t="inlineStr">
        <is>
          <t>N06/A06</t>
        </is>
      </c>
      <c r="F14" s="4" t="inlineStr">
        <is>
          <t>Media</t>
        </is>
      </c>
      <c r="G14" s="4" t="inlineStr">
        <is>
          <t>Checklist de calidad del tutor</t>
        </is>
      </c>
      <c r="H14" s="4" t="inlineStr">
        <is>
          <t>Cambios de tutor y garantías reducen fricción.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5.33203125" customWidth="1" min="2" max="2"/>
    <col width="14.1640625" customWidth="1" min="3" max="4"/>
    <col width="19" customWidth="1" min="5" max="5"/>
    <col width="21.5" customWidth="1" min="6" max="7"/>
    <col width="36.1640625" customWidth="1" min="8" max="8"/>
  </cols>
  <sheetData>
    <row r="1" ht="25.5" customHeight="1">
      <c r="A1" s="19" t="inlineStr">
        <is>
          <t>Unit economics por hora y por alumno</t>
        </is>
      </c>
      <c r="I1" s="18" t="n"/>
      <c r="J1" s="18" t="n"/>
      <c r="K1" s="18" t="n"/>
      <c r="L1" s="18" t="n"/>
      <c r="M1" s="18" t="n"/>
      <c r="N1" s="18" t="n"/>
    </row>
    <row r="2" ht="18" customHeight="1">
      <c r="A2" s="20" t="inlineStr">
        <is>
          <t>Calcula margen, contribución y volumen necesario para cubrir costos fijos.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1" t="inlineStr">
        <is>
          <t>Métrica</t>
        </is>
      </c>
      <c r="B4" s="21" t="inlineStr">
        <is>
          <t>Fórmula / Fuente</t>
        </is>
      </c>
      <c r="C4" s="21" t="inlineStr">
        <is>
          <t>Valor</t>
        </is>
      </c>
      <c r="D4" s="21" t="inlineStr">
        <is>
          <t>Unidad</t>
        </is>
      </c>
      <c r="E4" s="2" t="n"/>
      <c r="F4" s="21" t="inlineStr">
        <is>
          <t>Paquete</t>
        </is>
      </c>
      <c r="G4" s="21" t="inlineStr">
        <is>
          <t>Horas/mes</t>
        </is>
      </c>
      <c r="H4" s="21" t="inlineStr">
        <is>
          <t>Precio mensual</t>
        </is>
      </c>
    </row>
    <row r="5">
      <c r="A5" s="2" t="inlineStr">
        <is>
          <t>Precio ponderado por hora</t>
        </is>
      </c>
      <c r="B5" s="2" t="inlineStr">
        <is>
          <t>Virtual/presencial según mix</t>
        </is>
      </c>
      <c r="C5" s="12">
        <f>Supuestos!C6*Supuestos!C8+Supuestos!C7*Supuestos!C9</f>
        <v/>
      </c>
      <c r="D5" s="2" t="inlineStr">
        <is>
          <t>Q/hora</t>
        </is>
      </c>
      <c r="E5" s="2" t="n"/>
      <c r="F5" s="2" t="inlineStr">
        <is>
          <t>Plan Refuerzo</t>
        </is>
      </c>
      <c r="G5" s="2" t="n">
        <v>4</v>
      </c>
      <c r="H5" s="3">
        <f>G5*$C$5</f>
        <v/>
      </c>
    </row>
    <row r="6">
      <c r="A6" s="2" t="inlineStr">
        <is>
          <t>Pago tutor por hora</t>
        </is>
      </c>
      <c r="B6" s="2" t="inlineStr">
        <is>
          <t>70% de ingreso</t>
        </is>
      </c>
      <c r="C6" s="12">
        <f>C5*Supuestos!C10</f>
        <v/>
      </c>
      <c r="D6" s="2" t="inlineStr">
        <is>
          <t>Q/hora</t>
        </is>
      </c>
      <c r="E6" s="2" t="n"/>
      <c r="F6" s="2" t="inlineStr">
        <is>
          <t>Plan Constancia</t>
        </is>
      </c>
      <c r="G6" s="2" t="n">
        <v>8</v>
      </c>
      <c r="H6" s="3">
        <f>G6*$C$5</f>
        <v/>
      </c>
    </row>
    <row r="7">
      <c r="A7" s="2" t="inlineStr">
        <is>
          <t>Comisión de cobro por hora</t>
        </is>
      </c>
      <c r="B7" s="2" t="inlineStr">
        <is>
          <t>3% de ingreso</t>
        </is>
      </c>
      <c r="C7" s="12">
        <f>C5*Supuestos!C11</f>
        <v/>
      </c>
      <c r="D7" s="2" t="inlineStr">
        <is>
          <t>Q/hora</t>
        </is>
      </c>
      <c r="E7" s="2" t="n"/>
      <c r="F7" s="2" t="inlineStr">
        <is>
          <t>Plan Intensivo</t>
        </is>
      </c>
      <c r="G7" s="2" t="n">
        <v>12</v>
      </c>
      <c r="H7" s="3">
        <f>G7*$C$5</f>
        <v/>
      </c>
    </row>
    <row r="8">
      <c r="A8" s="2" t="inlineStr">
        <is>
          <t>Materiales por hora</t>
        </is>
      </c>
      <c r="B8" s="2" t="inlineStr">
        <is>
          <t>Input</t>
        </is>
      </c>
      <c r="C8" s="12">
        <f>Supuestos!C12</f>
        <v/>
      </c>
      <c r="D8" s="2" t="inlineStr">
        <is>
          <t>Q/hora</t>
        </is>
      </c>
      <c r="E8" s="2" t="n"/>
      <c r="F8" s="2" t="n"/>
      <c r="G8" s="2" t="n"/>
      <c r="H8" s="2" t="n"/>
    </row>
    <row r="9">
      <c r="A9" s="2" t="inlineStr">
        <is>
          <t>Contribución por hora</t>
        </is>
      </c>
      <c r="B9" s="2" t="inlineStr">
        <is>
          <t>Ingreso - variables</t>
        </is>
      </c>
      <c r="C9" s="12">
        <f>C5-C6-C7-C8</f>
        <v/>
      </c>
      <c r="D9" s="2" t="inlineStr">
        <is>
          <t>Q/hora</t>
        </is>
      </c>
      <c r="E9" s="2" t="n"/>
      <c r="F9" s="2" t="n"/>
      <c r="G9" s="2" t="n"/>
      <c r="H9" s="2" t="n"/>
    </row>
    <row r="10">
      <c r="A10" s="2" t="inlineStr">
        <is>
          <t>Margen de contribución</t>
        </is>
      </c>
      <c r="B10" s="2" t="inlineStr">
        <is>
          <t>Contribución / ingreso</t>
        </is>
      </c>
      <c r="C10" s="26">
        <f>C9/C5</f>
        <v/>
      </c>
      <c r="D10" s="2" t="inlineStr">
        <is>
          <t>%</t>
        </is>
      </c>
      <c r="E10" s="2" t="n"/>
      <c r="F10" s="2" t="n"/>
      <c r="G10" s="2" t="n"/>
      <c r="H10" s="2" t="n"/>
    </row>
    <row r="11">
      <c r="A11" s="2" t="inlineStr">
        <is>
          <t>Horas por alumno al mes</t>
        </is>
      </c>
      <c r="B11" s="2" t="inlineStr">
        <is>
          <t>Input</t>
        </is>
      </c>
      <c r="C11" s="27">
        <f>Supuestos!C13</f>
        <v/>
      </c>
      <c r="D11" s="2" t="inlineStr">
        <is>
          <t>horas</t>
        </is>
      </c>
      <c r="E11" s="2" t="n"/>
      <c r="F11" s="2" t="n"/>
      <c r="G11" s="2" t="n"/>
      <c r="H11" s="2" t="n"/>
    </row>
    <row r="12">
      <c r="A12" s="2" t="inlineStr">
        <is>
          <t>Ingreso mensual por alumno</t>
        </is>
      </c>
      <c r="B12" s="2" t="inlineStr">
        <is>
          <t>Precio x horas</t>
        </is>
      </c>
      <c r="C12" s="15">
        <f>C5*C11</f>
        <v/>
      </c>
      <c r="D12" s="2" t="inlineStr">
        <is>
          <t>Q/alumno</t>
        </is>
      </c>
      <c r="E12" s="2" t="n"/>
      <c r="F12" s="2" t="n"/>
      <c r="G12" s="2" t="n"/>
      <c r="H12" s="2" t="n"/>
    </row>
    <row r="13">
      <c r="A13" s="2" t="inlineStr">
        <is>
          <t>Contribución mensual por alumno</t>
        </is>
      </c>
      <c r="B13" s="2" t="inlineStr">
        <is>
          <t>Contribución x horas</t>
        </is>
      </c>
      <c r="C13" s="15">
        <f>C9*C11</f>
        <v/>
      </c>
      <c r="D13" s="2" t="inlineStr">
        <is>
          <t>Q/alumno</t>
        </is>
      </c>
      <c r="E13" s="2" t="n"/>
      <c r="F13" s="2" t="n"/>
      <c r="G13" s="2" t="n"/>
      <c r="H13" s="2" t="n"/>
    </row>
    <row r="14">
      <c r="A14" s="2" t="inlineStr">
        <is>
          <t>Costos fijos mensuales base</t>
        </is>
      </c>
      <c r="B14" s="2" t="inlineStr">
        <is>
          <t>Operación + pauta</t>
        </is>
      </c>
      <c r="C14" s="15">
        <f>Inversion_Costos!B23</f>
        <v/>
      </c>
      <c r="D14" s="2" t="inlineStr">
        <is>
          <t>Q/mes</t>
        </is>
      </c>
      <c r="E14" s="2" t="n"/>
      <c r="F14" s="2" t="n"/>
      <c r="G14" s="2" t="n"/>
      <c r="H14" s="2" t="n"/>
    </row>
    <row r="15">
      <c r="A15" s="2" t="inlineStr">
        <is>
          <t>Horas break-even mensual</t>
        </is>
      </c>
      <c r="B15" s="2" t="inlineStr">
        <is>
          <t>Fijos / contribución hora</t>
        </is>
      </c>
      <c r="C15" s="15">
        <f>C14/C9</f>
        <v/>
      </c>
      <c r="D15" s="2" t="inlineStr">
        <is>
          <t>horas</t>
        </is>
      </c>
      <c r="E15" s="2" t="n"/>
      <c r="F15" s="2" t="n"/>
      <c r="G15" s="2" t="n"/>
      <c r="H15" s="2" t="n"/>
    </row>
    <row r="16">
      <c r="A16" s="2" t="inlineStr">
        <is>
          <t>Alumnos break-even mensual</t>
        </is>
      </c>
      <c r="B16" s="2" t="inlineStr">
        <is>
          <t>Horas BE / horas alumno</t>
        </is>
      </c>
      <c r="C16" s="27">
        <f>C15/C11</f>
        <v/>
      </c>
      <c r="D16" s="2" t="inlineStr">
        <is>
          <t>alumnos activos</t>
        </is>
      </c>
      <c r="E16" s="2" t="n"/>
      <c r="F16" s="2" t="n"/>
      <c r="G16" s="2" t="n"/>
      <c r="H16" s="2" t="n"/>
    </row>
    <row r="17">
      <c r="A17" s="2" t="inlineStr">
        <is>
          <t>Leads necesarios por alumno</t>
        </is>
      </c>
      <c r="B17" s="2" t="inlineStr">
        <is>
          <t>1 / conversión</t>
        </is>
      </c>
      <c r="C17" s="27">
        <f>1/Supuestos!C18</f>
        <v/>
      </c>
      <c r="D17" s="2" t="inlineStr">
        <is>
          <t>leads</t>
        </is>
      </c>
      <c r="E17" s="2" t="n"/>
      <c r="F17" s="2" t="n"/>
      <c r="G17" s="2" t="n"/>
      <c r="H17" s="2" t="n"/>
    </row>
    <row r="18">
      <c r="A18" s="2" t="inlineStr">
        <is>
          <t>CAC estimado</t>
        </is>
      </c>
      <c r="B18" s="2" t="inlineStr">
        <is>
          <t>CPL / conversión</t>
        </is>
      </c>
      <c r="C18" s="15">
        <f>Supuestos!C17/Supuestos!C18</f>
        <v/>
      </c>
      <c r="D18" s="2" t="inlineStr">
        <is>
          <t>Q/cliente</t>
        </is>
      </c>
      <c r="E18" s="2" t="n"/>
      <c r="F18" s="2" t="n"/>
      <c r="G18" s="2" t="n"/>
      <c r="H18" s="2" t="n"/>
    </row>
    <row r="19">
      <c r="A19" s="2" t="inlineStr">
        <is>
          <t>Payback CAC</t>
        </is>
      </c>
      <c r="B19" s="2" t="inlineStr">
        <is>
          <t>CAC / contribución alumno</t>
        </is>
      </c>
      <c r="C19" s="27">
        <f>C18/C13</f>
        <v/>
      </c>
      <c r="D19" s="2" t="inlineStr">
        <is>
          <t>meses</t>
        </is>
      </c>
      <c r="E19" s="2" t="n"/>
      <c r="F19" s="2" t="n"/>
      <c r="G19" s="2" t="n"/>
      <c r="H19" s="2" t="n"/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10" defaultColWidth="8.83203125" defaultRowHeight="14"/>
  <cols>
    <col width="31.33203125" customWidth="1" min="1" max="1"/>
    <col width="9.5" customWidth="1" min="2" max="25"/>
  </cols>
  <sheetData>
    <row r="1" ht="25.5" customHeight="1">
      <c r="A1" s="19" t="inlineStr">
        <is>
          <t>Forecast mensual - Caso base</t>
        </is>
      </c>
    </row>
    <row r="2" ht="18" customHeight="1">
      <c r="A2" s="20" t="inlineStr">
        <is>
          <t>Horizonte mayo 2026 a abril 2028. Fórmulas editables y ligadas a Supuestos.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1" t="inlineStr">
        <is>
          <t>Métrica</t>
        </is>
      </c>
      <c r="B4" s="21" t="inlineStr">
        <is>
          <t>may 26</t>
        </is>
      </c>
      <c r="C4" s="21" t="inlineStr">
        <is>
          <t>jun 26</t>
        </is>
      </c>
      <c r="D4" s="21" t="inlineStr">
        <is>
          <t>jul 26</t>
        </is>
      </c>
      <c r="E4" s="21" t="inlineStr">
        <is>
          <t>ago 26</t>
        </is>
      </c>
      <c r="F4" s="21" t="inlineStr">
        <is>
          <t>sept 26</t>
        </is>
      </c>
      <c r="G4" s="21" t="inlineStr">
        <is>
          <t>oct 26</t>
        </is>
      </c>
      <c r="H4" s="21" t="inlineStr">
        <is>
          <t>nov 26</t>
        </is>
      </c>
      <c r="I4" s="21" t="inlineStr">
        <is>
          <t>dic 26</t>
        </is>
      </c>
      <c r="J4" s="21" t="inlineStr">
        <is>
          <t>ene 27</t>
        </is>
      </c>
      <c r="K4" s="21" t="inlineStr">
        <is>
          <t>feb 27</t>
        </is>
      </c>
      <c r="L4" s="21" t="inlineStr">
        <is>
          <t>mar 27</t>
        </is>
      </c>
      <c r="M4" s="21" t="inlineStr">
        <is>
          <t>abr 27</t>
        </is>
      </c>
      <c r="N4" s="21" t="inlineStr">
        <is>
          <t>may 27</t>
        </is>
      </c>
      <c r="O4" s="21" t="inlineStr">
        <is>
          <t>jun 27</t>
        </is>
      </c>
      <c r="P4" s="21" t="inlineStr">
        <is>
          <t>jul 27</t>
        </is>
      </c>
      <c r="Q4" s="21" t="inlineStr">
        <is>
          <t>ago 27</t>
        </is>
      </c>
      <c r="R4" s="21" t="inlineStr">
        <is>
          <t>sept 27</t>
        </is>
      </c>
      <c r="S4" s="21" t="inlineStr">
        <is>
          <t>oct 27</t>
        </is>
      </c>
      <c r="T4" s="21" t="inlineStr">
        <is>
          <t>nov 27</t>
        </is>
      </c>
      <c r="U4" s="21" t="inlineStr">
        <is>
          <t>dic 27</t>
        </is>
      </c>
      <c r="V4" s="21" t="inlineStr">
        <is>
          <t>ene 28</t>
        </is>
      </c>
      <c r="W4" s="21" t="inlineStr">
        <is>
          <t>feb 28</t>
        </is>
      </c>
      <c r="X4" s="21" t="inlineStr">
        <is>
          <t>mar 28</t>
        </is>
      </c>
      <c r="Y4" s="21" t="inlineStr">
        <is>
          <t>abr 28</t>
        </is>
      </c>
    </row>
    <row r="5">
      <c r="A5" s="2" t="inlineStr">
        <is>
          <t>Alumnos nuevos</t>
        </is>
      </c>
      <c r="B5" s="16">
        <f>Supuestos!C14</f>
        <v/>
      </c>
      <c r="C5" s="16">
        <f>B5*(1+Supuestos!C15)</f>
        <v/>
      </c>
      <c r="D5" s="16">
        <f>C5*(1+Supuestos!C15)</f>
        <v/>
      </c>
      <c r="E5" s="16">
        <f>D5*(1+Supuestos!C15)</f>
        <v/>
      </c>
      <c r="F5" s="16">
        <f>E5*(1+Supuestos!C15)</f>
        <v/>
      </c>
      <c r="G5" s="16">
        <f>F5*(1+Supuestos!C15)</f>
        <v/>
      </c>
      <c r="H5" s="16">
        <f>G5*(1+Supuestos!C15)</f>
        <v/>
      </c>
      <c r="I5" s="16">
        <f>H5*(1+Supuestos!C15)</f>
        <v/>
      </c>
      <c r="J5" s="16">
        <f>I5*(1+Supuestos!C15)</f>
        <v/>
      </c>
      <c r="K5" s="16">
        <f>J5*(1+Supuestos!C15)</f>
        <v/>
      </c>
      <c r="L5" s="16">
        <f>K5*(1+Supuestos!C15)</f>
        <v/>
      </c>
      <c r="M5" s="16">
        <f>L5*(1+Supuestos!C15)</f>
        <v/>
      </c>
      <c r="N5" s="16">
        <f>M5*(1+Supuestos!C15)</f>
        <v/>
      </c>
      <c r="O5" s="16">
        <f>N5*(1+Supuestos!C15)</f>
        <v/>
      </c>
      <c r="P5" s="16">
        <f>O5*(1+Supuestos!C15)</f>
        <v/>
      </c>
      <c r="Q5" s="16">
        <f>P5*(1+Supuestos!C15)</f>
        <v/>
      </c>
      <c r="R5" s="16">
        <f>Q5*(1+Supuestos!C15)</f>
        <v/>
      </c>
      <c r="S5" s="16">
        <f>R5*(1+Supuestos!C15)</f>
        <v/>
      </c>
      <c r="T5" s="16">
        <f>S5*(1+Supuestos!C15)</f>
        <v/>
      </c>
      <c r="U5" s="16">
        <f>T5*(1+Supuestos!C15)</f>
        <v/>
      </c>
      <c r="V5" s="16">
        <f>U5*(1+Supuestos!C15)</f>
        <v/>
      </c>
      <c r="W5" s="16">
        <f>V5*(1+Supuestos!C15)</f>
        <v/>
      </c>
      <c r="X5" s="16">
        <f>W5*(1+Supuestos!C15)</f>
        <v/>
      </c>
      <c r="Y5" s="16">
        <f>X5*(1+Supuestos!C15)</f>
        <v/>
      </c>
    </row>
    <row r="6">
      <c r="A6" s="2" t="inlineStr">
        <is>
          <t>Alumnos activos</t>
        </is>
      </c>
      <c r="B6" s="16">
        <f>B5</f>
        <v/>
      </c>
      <c r="C6" s="16">
        <f>B6*(1-Supuestos!C16)+C5</f>
        <v/>
      </c>
      <c r="D6" s="16">
        <f>C6*(1-Supuestos!C16)+D5</f>
        <v/>
      </c>
      <c r="E6" s="16">
        <f>D6*(1-Supuestos!C16)+E5</f>
        <v/>
      </c>
      <c r="F6" s="16">
        <f>E6*(1-Supuestos!C16)+F5</f>
        <v/>
      </c>
      <c r="G6" s="16">
        <f>F6*(1-Supuestos!C16)+G5</f>
        <v/>
      </c>
      <c r="H6" s="16">
        <f>G6*(1-Supuestos!C16)+H5</f>
        <v/>
      </c>
      <c r="I6" s="16">
        <f>H6*(1-Supuestos!C16)+I5</f>
        <v/>
      </c>
      <c r="J6" s="16">
        <f>I6*(1-Supuestos!C16)+J5</f>
        <v/>
      </c>
      <c r="K6" s="16">
        <f>J6*(1-Supuestos!C16)+K5</f>
        <v/>
      </c>
      <c r="L6" s="16">
        <f>K6*(1-Supuestos!C16)+L5</f>
        <v/>
      </c>
      <c r="M6" s="16">
        <f>L6*(1-Supuestos!C16)+M5</f>
        <v/>
      </c>
      <c r="N6" s="16">
        <f>M6*(1-Supuestos!C16)+N5</f>
        <v/>
      </c>
      <c r="O6" s="16">
        <f>N6*(1-Supuestos!C16)+O5</f>
        <v/>
      </c>
      <c r="P6" s="16">
        <f>O6*(1-Supuestos!C16)+P5</f>
        <v/>
      </c>
      <c r="Q6" s="16">
        <f>P6*(1-Supuestos!C16)+Q5</f>
        <v/>
      </c>
      <c r="R6" s="16">
        <f>Q6*(1-Supuestos!C16)+R5</f>
        <v/>
      </c>
      <c r="S6" s="16">
        <f>R6*(1-Supuestos!C16)+S5</f>
        <v/>
      </c>
      <c r="T6" s="16">
        <f>S6*(1-Supuestos!C16)+T5</f>
        <v/>
      </c>
      <c r="U6" s="16">
        <f>T6*(1-Supuestos!C16)+U5</f>
        <v/>
      </c>
      <c r="V6" s="16">
        <f>U6*(1-Supuestos!C16)+V5</f>
        <v/>
      </c>
      <c r="W6" s="16">
        <f>V6*(1-Supuestos!C16)+W5</f>
        <v/>
      </c>
      <c r="X6" s="16">
        <f>W6*(1-Supuestos!C16)+X5</f>
        <v/>
      </c>
      <c r="Y6" s="16">
        <f>X6*(1-Supuestos!C16)+Y5</f>
        <v/>
      </c>
    </row>
    <row r="7">
      <c r="A7" s="2" t="inlineStr">
        <is>
          <t>Horas vendidas</t>
        </is>
      </c>
      <c r="B7" s="16">
        <f>B6*Supuestos!C13</f>
        <v/>
      </c>
      <c r="C7" s="16">
        <f>C6*Supuestos!C13</f>
        <v/>
      </c>
      <c r="D7" s="16">
        <f>D6*Supuestos!C13</f>
        <v/>
      </c>
      <c r="E7" s="16">
        <f>E6*Supuestos!C13</f>
        <v/>
      </c>
      <c r="F7" s="16">
        <f>F6*Supuestos!C13</f>
        <v/>
      </c>
      <c r="G7" s="16">
        <f>G6*Supuestos!C13</f>
        <v/>
      </c>
      <c r="H7" s="16">
        <f>H6*Supuestos!C13</f>
        <v/>
      </c>
      <c r="I7" s="16">
        <f>I6*Supuestos!C13</f>
        <v/>
      </c>
      <c r="J7" s="16">
        <f>J6*Supuestos!C13</f>
        <v/>
      </c>
      <c r="K7" s="16">
        <f>K6*Supuestos!C13</f>
        <v/>
      </c>
      <c r="L7" s="16">
        <f>L6*Supuestos!C13</f>
        <v/>
      </c>
      <c r="M7" s="16">
        <f>M6*Supuestos!C13</f>
        <v/>
      </c>
      <c r="N7" s="16">
        <f>N6*Supuestos!C13</f>
        <v/>
      </c>
      <c r="O7" s="16">
        <f>O6*Supuestos!C13</f>
        <v/>
      </c>
      <c r="P7" s="16">
        <f>P6*Supuestos!C13</f>
        <v/>
      </c>
      <c r="Q7" s="16">
        <f>Q6*Supuestos!C13</f>
        <v/>
      </c>
      <c r="R7" s="16">
        <f>R6*Supuestos!C13</f>
        <v/>
      </c>
      <c r="S7" s="16">
        <f>S6*Supuestos!C13</f>
        <v/>
      </c>
      <c r="T7" s="16">
        <f>T6*Supuestos!C13</f>
        <v/>
      </c>
      <c r="U7" s="16">
        <f>U6*Supuestos!C13</f>
        <v/>
      </c>
      <c r="V7" s="16">
        <f>V6*Supuestos!C13</f>
        <v/>
      </c>
      <c r="W7" s="16">
        <f>W6*Supuestos!C13</f>
        <v/>
      </c>
      <c r="X7" s="16">
        <f>X6*Supuestos!C13</f>
        <v/>
      </c>
      <c r="Y7" s="16">
        <f>Y6*Supuestos!C13</f>
        <v/>
      </c>
    </row>
    <row r="8">
      <c r="A8" s="2" t="inlineStr">
        <is>
          <t>Precio ponderado por hora</t>
        </is>
      </c>
      <c r="B8" s="3">
        <f>Unit_Economics!C5</f>
        <v/>
      </c>
      <c r="C8" s="3">
        <f>Unit_Economics!C5</f>
        <v/>
      </c>
      <c r="D8" s="3">
        <f>Unit_Economics!C5</f>
        <v/>
      </c>
      <c r="E8" s="3">
        <f>Unit_Economics!C5</f>
        <v/>
      </c>
      <c r="F8" s="3">
        <f>Unit_Economics!C5</f>
        <v/>
      </c>
      <c r="G8" s="3">
        <f>Unit_Economics!C5</f>
        <v/>
      </c>
      <c r="H8" s="3">
        <f>Unit_Economics!C5</f>
        <v/>
      </c>
      <c r="I8" s="3">
        <f>Unit_Economics!C5</f>
        <v/>
      </c>
      <c r="J8" s="3">
        <f>Unit_Economics!C5</f>
        <v/>
      </c>
      <c r="K8" s="3">
        <f>Unit_Economics!C5</f>
        <v/>
      </c>
      <c r="L8" s="3">
        <f>Unit_Economics!C5</f>
        <v/>
      </c>
      <c r="M8" s="3">
        <f>Unit_Economics!C5</f>
        <v/>
      </c>
      <c r="N8" s="3">
        <f>Unit_Economics!C5</f>
        <v/>
      </c>
      <c r="O8" s="3">
        <f>Unit_Economics!C5</f>
        <v/>
      </c>
      <c r="P8" s="3">
        <f>Unit_Economics!C5</f>
        <v/>
      </c>
      <c r="Q8" s="3">
        <f>Unit_Economics!C5</f>
        <v/>
      </c>
      <c r="R8" s="3">
        <f>Unit_Economics!C5</f>
        <v/>
      </c>
      <c r="S8" s="3">
        <f>Unit_Economics!C5</f>
        <v/>
      </c>
      <c r="T8" s="3">
        <f>Unit_Economics!C5</f>
        <v/>
      </c>
      <c r="U8" s="3">
        <f>Unit_Economics!C5</f>
        <v/>
      </c>
      <c r="V8" s="3">
        <f>Unit_Economics!C5</f>
        <v/>
      </c>
      <c r="W8" s="3">
        <f>Unit_Economics!C5</f>
        <v/>
      </c>
      <c r="X8" s="3">
        <f>Unit_Economics!C5</f>
        <v/>
      </c>
      <c r="Y8" s="3">
        <f>Unit_Economics!C5</f>
        <v/>
      </c>
    </row>
    <row r="9">
      <c r="A9" s="2" t="inlineStr">
        <is>
          <t>Ingresos</t>
        </is>
      </c>
      <c r="B9" s="3">
        <f>B7*B8</f>
        <v/>
      </c>
      <c r="C9" s="3">
        <f>C7*C8</f>
        <v/>
      </c>
      <c r="D9" s="3">
        <f>D7*D8</f>
        <v/>
      </c>
      <c r="E9" s="3">
        <f>E7*E8</f>
        <v/>
      </c>
      <c r="F9" s="3">
        <f>F7*F8</f>
        <v/>
      </c>
      <c r="G9" s="3">
        <f>G7*G8</f>
        <v/>
      </c>
      <c r="H9" s="3">
        <f>H7*H8</f>
        <v/>
      </c>
      <c r="I9" s="3">
        <f>I7*I8</f>
        <v/>
      </c>
      <c r="J9" s="3">
        <f>J7*J8</f>
        <v/>
      </c>
      <c r="K9" s="3">
        <f>K7*K8</f>
        <v/>
      </c>
      <c r="L9" s="3">
        <f>L7*L8</f>
        <v/>
      </c>
      <c r="M9" s="3">
        <f>M7*M8</f>
        <v/>
      </c>
      <c r="N9" s="3">
        <f>N7*N8</f>
        <v/>
      </c>
      <c r="O9" s="3">
        <f>O7*O8</f>
        <v/>
      </c>
      <c r="P9" s="3">
        <f>P7*P8</f>
        <v/>
      </c>
      <c r="Q9" s="3">
        <f>Q7*Q8</f>
        <v/>
      </c>
      <c r="R9" s="3">
        <f>R7*R8</f>
        <v/>
      </c>
      <c r="S9" s="3">
        <f>S7*S8</f>
        <v/>
      </c>
      <c r="T9" s="3">
        <f>T7*T8</f>
        <v/>
      </c>
      <c r="U9" s="3">
        <f>U7*U8</f>
        <v/>
      </c>
      <c r="V9" s="3">
        <f>V7*V8</f>
        <v/>
      </c>
      <c r="W9" s="3">
        <f>W7*W8</f>
        <v/>
      </c>
      <c r="X9" s="3">
        <f>X7*X8</f>
        <v/>
      </c>
      <c r="Y9" s="3">
        <f>Y7*Y8</f>
        <v/>
      </c>
    </row>
    <row r="10">
      <c r="A10" s="2" t="inlineStr">
        <is>
          <t>Pago a tutores</t>
        </is>
      </c>
      <c r="B10" s="3">
        <f>B9*Supuestos!C10</f>
        <v/>
      </c>
      <c r="C10" s="3">
        <f>C9*Supuestos!C10</f>
        <v/>
      </c>
      <c r="D10" s="3">
        <f>D9*Supuestos!C10</f>
        <v/>
      </c>
      <c r="E10" s="3">
        <f>E9*Supuestos!C10</f>
        <v/>
      </c>
      <c r="F10" s="3">
        <f>F9*Supuestos!C10</f>
        <v/>
      </c>
      <c r="G10" s="3">
        <f>G9*Supuestos!C10</f>
        <v/>
      </c>
      <c r="H10" s="3">
        <f>H9*Supuestos!C10</f>
        <v/>
      </c>
      <c r="I10" s="3">
        <f>I9*Supuestos!C10</f>
        <v/>
      </c>
      <c r="J10" s="3">
        <f>J9*Supuestos!C10</f>
        <v/>
      </c>
      <c r="K10" s="3">
        <f>K9*Supuestos!C10</f>
        <v/>
      </c>
      <c r="L10" s="3">
        <f>L9*Supuestos!C10</f>
        <v/>
      </c>
      <c r="M10" s="3">
        <f>M9*Supuestos!C10</f>
        <v/>
      </c>
      <c r="N10" s="3">
        <f>N9*Supuestos!C10</f>
        <v/>
      </c>
      <c r="O10" s="3">
        <f>O9*Supuestos!C10</f>
        <v/>
      </c>
      <c r="P10" s="3">
        <f>P9*Supuestos!C10</f>
        <v/>
      </c>
      <c r="Q10" s="3">
        <f>Q9*Supuestos!C10</f>
        <v/>
      </c>
      <c r="R10" s="3">
        <f>R9*Supuestos!C10</f>
        <v/>
      </c>
      <c r="S10" s="3">
        <f>S9*Supuestos!C10</f>
        <v/>
      </c>
      <c r="T10" s="3">
        <f>T9*Supuestos!C10</f>
        <v/>
      </c>
      <c r="U10" s="3">
        <f>U9*Supuestos!C10</f>
        <v/>
      </c>
      <c r="V10" s="3">
        <f>V9*Supuestos!C10</f>
        <v/>
      </c>
      <c r="W10" s="3">
        <f>W9*Supuestos!C10</f>
        <v/>
      </c>
      <c r="X10" s="3">
        <f>X9*Supuestos!C10</f>
        <v/>
      </c>
      <c r="Y10" s="3">
        <f>Y9*Supuestos!C10</f>
        <v/>
      </c>
    </row>
    <row r="11">
      <c r="A11" s="2" t="inlineStr">
        <is>
          <t>Comisiones de pago</t>
        </is>
      </c>
      <c r="B11" s="3">
        <f>B9*Supuestos!C11</f>
        <v/>
      </c>
      <c r="C11" s="3">
        <f>C9*Supuestos!C11</f>
        <v/>
      </c>
      <c r="D11" s="3">
        <f>D9*Supuestos!C11</f>
        <v/>
      </c>
      <c r="E11" s="3">
        <f>E9*Supuestos!C11</f>
        <v/>
      </c>
      <c r="F11" s="3">
        <f>F9*Supuestos!C11</f>
        <v/>
      </c>
      <c r="G11" s="3">
        <f>G9*Supuestos!C11</f>
        <v/>
      </c>
      <c r="H11" s="3">
        <f>H9*Supuestos!C11</f>
        <v/>
      </c>
      <c r="I11" s="3">
        <f>I9*Supuestos!C11</f>
        <v/>
      </c>
      <c r="J11" s="3">
        <f>J9*Supuestos!C11</f>
        <v/>
      </c>
      <c r="K11" s="3">
        <f>K9*Supuestos!C11</f>
        <v/>
      </c>
      <c r="L11" s="3">
        <f>L9*Supuestos!C11</f>
        <v/>
      </c>
      <c r="M11" s="3">
        <f>M9*Supuestos!C11</f>
        <v/>
      </c>
      <c r="N11" s="3">
        <f>N9*Supuestos!C11</f>
        <v/>
      </c>
      <c r="O11" s="3">
        <f>O9*Supuestos!C11</f>
        <v/>
      </c>
      <c r="P11" s="3">
        <f>P9*Supuestos!C11</f>
        <v/>
      </c>
      <c r="Q11" s="3">
        <f>Q9*Supuestos!C11</f>
        <v/>
      </c>
      <c r="R11" s="3">
        <f>R9*Supuestos!C11</f>
        <v/>
      </c>
      <c r="S11" s="3">
        <f>S9*Supuestos!C11</f>
        <v/>
      </c>
      <c r="T11" s="3">
        <f>T9*Supuestos!C11</f>
        <v/>
      </c>
      <c r="U11" s="3">
        <f>U9*Supuestos!C11</f>
        <v/>
      </c>
      <c r="V11" s="3">
        <f>V9*Supuestos!C11</f>
        <v/>
      </c>
      <c r="W11" s="3">
        <f>W9*Supuestos!C11</f>
        <v/>
      </c>
      <c r="X11" s="3">
        <f>X9*Supuestos!C11</f>
        <v/>
      </c>
      <c r="Y11" s="3">
        <f>Y9*Supuestos!C11</f>
        <v/>
      </c>
    </row>
    <row r="12">
      <c r="A12" s="2" t="inlineStr">
        <is>
          <t>Materiales</t>
        </is>
      </c>
      <c r="B12" s="3">
        <f>B7*Supuestos!C12</f>
        <v/>
      </c>
      <c r="C12" s="3">
        <f>C7*Supuestos!C12</f>
        <v/>
      </c>
      <c r="D12" s="3">
        <f>D7*Supuestos!C12</f>
        <v/>
      </c>
      <c r="E12" s="3">
        <f>E7*Supuestos!C12</f>
        <v/>
      </c>
      <c r="F12" s="3">
        <f>F7*Supuestos!C12</f>
        <v/>
      </c>
      <c r="G12" s="3">
        <f>G7*Supuestos!C12</f>
        <v/>
      </c>
      <c r="H12" s="3">
        <f>H7*Supuestos!C12</f>
        <v/>
      </c>
      <c r="I12" s="3">
        <f>I7*Supuestos!C12</f>
        <v/>
      </c>
      <c r="J12" s="3">
        <f>J7*Supuestos!C12</f>
        <v/>
      </c>
      <c r="K12" s="3">
        <f>K7*Supuestos!C12</f>
        <v/>
      </c>
      <c r="L12" s="3">
        <f>L7*Supuestos!C12</f>
        <v/>
      </c>
      <c r="M12" s="3">
        <f>M7*Supuestos!C12</f>
        <v/>
      </c>
      <c r="N12" s="3">
        <f>N7*Supuestos!C12</f>
        <v/>
      </c>
      <c r="O12" s="3">
        <f>O7*Supuestos!C12</f>
        <v/>
      </c>
      <c r="P12" s="3">
        <f>P7*Supuestos!C12</f>
        <v/>
      </c>
      <c r="Q12" s="3">
        <f>Q7*Supuestos!C12</f>
        <v/>
      </c>
      <c r="R12" s="3">
        <f>R7*Supuestos!C12</f>
        <v/>
      </c>
      <c r="S12" s="3">
        <f>S7*Supuestos!C12</f>
        <v/>
      </c>
      <c r="T12" s="3">
        <f>T7*Supuestos!C12</f>
        <v/>
      </c>
      <c r="U12" s="3">
        <f>U7*Supuestos!C12</f>
        <v/>
      </c>
      <c r="V12" s="3">
        <f>V7*Supuestos!C12</f>
        <v/>
      </c>
      <c r="W12" s="3">
        <f>W7*Supuestos!C12</f>
        <v/>
      </c>
      <c r="X12" s="3">
        <f>X7*Supuestos!C12</f>
        <v/>
      </c>
      <c r="Y12" s="3">
        <f>Y7*Supuestos!C12</f>
        <v/>
      </c>
    </row>
    <row r="13">
      <c r="A13" s="2" t="inlineStr">
        <is>
          <t>Margen bruto / contribución</t>
        </is>
      </c>
      <c r="B13" s="3">
        <f>B9-B10-B11-B12</f>
        <v/>
      </c>
      <c r="C13" s="3">
        <f>C9-C10-C11-C12</f>
        <v/>
      </c>
      <c r="D13" s="3">
        <f>D9-D10-D11-D12</f>
        <v/>
      </c>
      <c r="E13" s="3">
        <f>E9-E10-E11-E12</f>
        <v/>
      </c>
      <c r="F13" s="3">
        <f>F9-F10-F11-F12</f>
        <v/>
      </c>
      <c r="G13" s="3">
        <f>G9-G10-G11-G12</f>
        <v/>
      </c>
      <c r="H13" s="3">
        <f>H9-H10-H11-H12</f>
        <v/>
      </c>
      <c r="I13" s="3">
        <f>I9-I10-I11-I12</f>
        <v/>
      </c>
      <c r="J13" s="3">
        <f>J9-J10-J11-J12</f>
        <v/>
      </c>
      <c r="K13" s="3">
        <f>K9-K10-K11-K12</f>
        <v/>
      </c>
      <c r="L13" s="3">
        <f>L9-L10-L11-L12</f>
        <v/>
      </c>
      <c r="M13" s="3">
        <f>M9-M10-M11-M12</f>
        <v/>
      </c>
      <c r="N13" s="3">
        <f>N9-N10-N11-N12</f>
        <v/>
      </c>
      <c r="O13" s="3">
        <f>O9-O10-O11-O12</f>
        <v/>
      </c>
      <c r="P13" s="3">
        <f>P9-P10-P11-P12</f>
        <v/>
      </c>
      <c r="Q13" s="3">
        <f>Q9-Q10-Q11-Q12</f>
        <v/>
      </c>
      <c r="R13" s="3">
        <f>R9-R10-R11-R12</f>
        <v/>
      </c>
      <c r="S13" s="3">
        <f>S9-S10-S11-S12</f>
        <v/>
      </c>
      <c r="T13" s="3">
        <f>T9-T10-T11-T12</f>
        <v/>
      </c>
      <c r="U13" s="3">
        <f>U9-U10-U11-U12</f>
        <v/>
      </c>
      <c r="V13" s="3">
        <f>V9-V10-V11-V12</f>
        <v/>
      </c>
      <c r="W13" s="3">
        <f>W9-W10-W11-W12</f>
        <v/>
      </c>
      <c r="X13" s="3">
        <f>X9-X10-X11-X12</f>
        <v/>
      </c>
      <c r="Y13" s="3">
        <f>Y9-Y10-Y11-Y12</f>
        <v/>
      </c>
    </row>
    <row r="14">
      <c r="A14" s="2" t="inlineStr">
        <is>
          <t>Margen contribución %</t>
        </is>
      </c>
      <c r="B14" s="23">
        <f>IFERROR(B13/B9,0)</f>
        <v/>
      </c>
      <c r="C14" s="23">
        <f>IFERROR(C13/C9,0)</f>
        <v/>
      </c>
      <c r="D14" s="23">
        <f>IFERROR(D13/D9,0)</f>
        <v/>
      </c>
      <c r="E14" s="23">
        <f>IFERROR(E13/E9,0)</f>
        <v/>
      </c>
      <c r="F14" s="23">
        <f>IFERROR(F13/F9,0)</f>
        <v/>
      </c>
      <c r="G14" s="23">
        <f>IFERROR(G13/G9,0)</f>
        <v/>
      </c>
      <c r="H14" s="23">
        <f>IFERROR(H13/H9,0)</f>
        <v/>
      </c>
      <c r="I14" s="23">
        <f>IFERROR(I13/I9,0)</f>
        <v/>
      </c>
      <c r="J14" s="23">
        <f>IFERROR(J13/J9,0)</f>
        <v/>
      </c>
      <c r="K14" s="23">
        <f>IFERROR(K13/K9,0)</f>
        <v/>
      </c>
      <c r="L14" s="23">
        <f>IFERROR(L13/L9,0)</f>
        <v/>
      </c>
      <c r="M14" s="23">
        <f>IFERROR(M13/M9,0)</f>
        <v/>
      </c>
      <c r="N14" s="23">
        <f>IFERROR(N13/N9,0)</f>
        <v/>
      </c>
      <c r="O14" s="23">
        <f>IFERROR(O13/O9,0)</f>
        <v/>
      </c>
      <c r="P14" s="23">
        <f>IFERROR(P13/P9,0)</f>
        <v/>
      </c>
      <c r="Q14" s="23">
        <f>IFERROR(Q13/Q9,0)</f>
        <v/>
      </c>
      <c r="R14" s="23">
        <f>IFERROR(R13/R9,0)</f>
        <v/>
      </c>
      <c r="S14" s="23">
        <f>IFERROR(S13/S9,0)</f>
        <v/>
      </c>
      <c r="T14" s="23">
        <f>IFERROR(T13/T9,0)</f>
        <v/>
      </c>
      <c r="U14" s="23">
        <f>IFERROR(U13/U9,0)</f>
        <v/>
      </c>
      <c r="V14" s="23">
        <f>IFERROR(V13/V9,0)</f>
        <v/>
      </c>
      <c r="W14" s="23">
        <f>IFERROR(W13/W9,0)</f>
        <v/>
      </c>
      <c r="X14" s="23">
        <f>IFERROR(X13/X9,0)</f>
        <v/>
      </c>
      <c r="Y14" s="23">
        <f>IFERROR(Y13/Y9,0)</f>
        <v/>
      </c>
    </row>
    <row r="15">
      <c r="A15" s="2" t="inlineStr">
        <is>
          <t>Pauta</t>
        </is>
      </c>
      <c r="B15" s="3">
        <f>Supuestos!C17*Supuestos!C5*(1+Supuestos!C18)^INT(0/6)</f>
        <v/>
      </c>
      <c r="C15" s="3">
        <f>Supuestos!C17*Supuestos!C5*(1+Supuestos!C18)^INT(1/6)</f>
        <v/>
      </c>
      <c r="D15" s="3">
        <f>Supuestos!C17*Supuestos!C5*(1+Supuestos!C18)^INT(2/6)</f>
        <v/>
      </c>
      <c r="E15" s="3">
        <f>Supuestos!C17*Supuestos!C5*(1+Supuestos!C18)^INT(3/6)</f>
        <v/>
      </c>
      <c r="F15" s="3">
        <f>Supuestos!C17*Supuestos!C5*(1+Supuestos!C18)^INT(4/6)</f>
        <v/>
      </c>
      <c r="G15" s="3">
        <f>Supuestos!C17*Supuestos!C5*(1+Supuestos!C18)^INT(5/6)</f>
        <v/>
      </c>
      <c r="H15" s="3">
        <f>Supuestos!C17*Supuestos!C5*(1+Supuestos!C18)^INT(6/6)</f>
        <v/>
      </c>
      <c r="I15" s="3">
        <f>Supuestos!C17*Supuestos!C5*(1+Supuestos!C18)^INT(7/6)</f>
        <v/>
      </c>
      <c r="J15" s="3">
        <f>Supuestos!C17*Supuestos!C5*(1+Supuestos!C18)^INT(8/6)</f>
        <v/>
      </c>
      <c r="K15" s="3">
        <f>Supuestos!C17*Supuestos!C5*(1+Supuestos!C18)^INT(9/6)</f>
        <v/>
      </c>
      <c r="L15" s="3">
        <f>Supuestos!C17*Supuestos!C5*(1+Supuestos!C18)^INT(10/6)</f>
        <v/>
      </c>
      <c r="M15" s="3">
        <f>Supuestos!C17*Supuestos!C5*(1+Supuestos!C18)^INT(11/6)</f>
        <v/>
      </c>
      <c r="N15" s="3">
        <f>Supuestos!C17*Supuestos!C5*(1+Supuestos!C18)^INT(12/6)</f>
        <v/>
      </c>
      <c r="O15" s="3">
        <f>Supuestos!C17*Supuestos!C5*(1+Supuestos!C18)^INT(13/6)</f>
        <v/>
      </c>
      <c r="P15" s="3">
        <f>Supuestos!C17*Supuestos!C5*(1+Supuestos!C18)^INT(14/6)</f>
        <v/>
      </c>
      <c r="Q15" s="3">
        <f>Supuestos!C17*Supuestos!C5*(1+Supuestos!C18)^INT(15/6)</f>
        <v/>
      </c>
      <c r="R15" s="3">
        <f>Supuestos!C17*Supuestos!C5*(1+Supuestos!C18)^INT(16/6)</f>
        <v/>
      </c>
      <c r="S15" s="3">
        <f>Supuestos!C17*Supuestos!C5*(1+Supuestos!C18)^INT(17/6)</f>
        <v/>
      </c>
      <c r="T15" s="3">
        <f>Supuestos!C17*Supuestos!C5*(1+Supuestos!C18)^INT(18/6)</f>
        <v/>
      </c>
      <c r="U15" s="3">
        <f>Supuestos!C17*Supuestos!C5*(1+Supuestos!C18)^INT(19/6)</f>
        <v/>
      </c>
      <c r="V15" s="3">
        <f>Supuestos!C17*Supuestos!C5*(1+Supuestos!C18)^INT(20/6)</f>
        <v/>
      </c>
      <c r="W15" s="3">
        <f>Supuestos!C17*Supuestos!C5*(1+Supuestos!C18)^INT(21/6)</f>
        <v/>
      </c>
      <c r="X15" s="3">
        <f>Supuestos!C17*Supuestos!C5*(1+Supuestos!C18)^INT(22/6)</f>
        <v/>
      </c>
      <c r="Y15" s="3">
        <f>Supuestos!C17*Supuestos!C5*(1+Supuestos!C18)^INT(23/6)</f>
        <v/>
      </c>
    </row>
    <row r="16">
      <c r="A16" s="2" t="inlineStr">
        <is>
          <t>Otros costos fijos</t>
        </is>
      </c>
      <c r="B16" s="3">
        <f>Inversion_Costos!B21</f>
        <v/>
      </c>
      <c r="C16" s="3">
        <f>Inversion_Costos!B21</f>
        <v/>
      </c>
      <c r="D16" s="3">
        <f>Inversion_Costos!B21</f>
        <v/>
      </c>
      <c r="E16" s="3">
        <f>Inversion_Costos!B21</f>
        <v/>
      </c>
      <c r="F16" s="3">
        <f>Inversion_Costos!B21</f>
        <v/>
      </c>
      <c r="G16" s="3">
        <f>Inversion_Costos!B21</f>
        <v/>
      </c>
      <c r="H16" s="3">
        <f>Inversion_Costos!B21</f>
        <v/>
      </c>
      <c r="I16" s="3">
        <f>Inversion_Costos!B21</f>
        <v/>
      </c>
      <c r="J16" s="3">
        <f>Inversion_Costos!B21</f>
        <v/>
      </c>
      <c r="K16" s="3">
        <f>Inversion_Costos!B21</f>
        <v/>
      </c>
      <c r="L16" s="3">
        <f>Inversion_Costos!B21</f>
        <v/>
      </c>
      <c r="M16" s="3">
        <f>Inversion_Costos!B21</f>
        <v/>
      </c>
      <c r="N16" s="3">
        <f>Inversion_Costos!B21</f>
        <v/>
      </c>
      <c r="O16" s="3">
        <f>Inversion_Costos!B21</f>
        <v/>
      </c>
      <c r="P16" s="3">
        <f>Inversion_Costos!B21</f>
        <v/>
      </c>
      <c r="Q16" s="3">
        <f>Inversion_Costos!B21</f>
        <v/>
      </c>
      <c r="R16" s="3">
        <f>Inversion_Costos!B21</f>
        <v/>
      </c>
      <c r="S16" s="3">
        <f>Inversion_Costos!B21</f>
        <v/>
      </c>
      <c r="T16" s="3">
        <f>Inversion_Costos!B21</f>
        <v/>
      </c>
      <c r="U16" s="3">
        <f>Inversion_Costos!B21</f>
        <v/>
      </c>
      <c r="V16" s="3">
        <f>Inversion_Costos!B21</f>
        <v/>
      </c>
      <c r="W16" s="3">
        <f>Inversion_Costos!B21</f>
        <v/>
      </c>
      <c r="X16" s="3">
        <f>Inversion_Costos!B21</f>
        <v/>
      </c>
      <c r="Y16" s="3">
        <f>Inversion_Costos!B21</f>
        <v/>
      </c>
    </row>
    <row r="17">
      <c r="A17" s="2" t="inlineStr">
        <is>
          <t>EBITDA</t>
        </is>
      </c>
      <c r="B17" s="3">
        <f>B13-B15-B16</f>
        <v/>
      </c>
      <c r="C17" s="3">
        <f>C13-C15-C16</f>
        <v/>
      </c>
      <c r="D17" s="3">
        <f>D13-D15-D16</f>
        <v/>
      </c>
      <c r="E17" s="3">
        <f>E13-E15-E16</f>
        <v/>
      </c>
      <c r="F17" s="3">
        <f>F13-F15-F16</f>
        <v/>
      </c>
      <c r="G17" s="3">
        <f>G13-G15-G16</f>
        <v/>
      </c>
      <c r="H17" s="3">
        <f>H13-H15-H16</f>
        <v/>
      </c>
      <c r="I17" s="3">
        <f>I13-I15-I16</f>
        <v/>
      </c>
      <c r="J17" s="3">
        <f>J13-J15-J16</f>
        <v/>
      </c>
      <c r="K17" s="3">
        <f>K13-K15-K16</f>
        <v/>
      </c>
      <c r="L17" s="3">
        <f>L13-L15-L16</f>
        <v/>
      </c>
      <c r="M17" s="3">
        <f>M13-M15-M16</f>
        <v/>
      </c>
      <c r="N17" s="3">
        <f>N13-N15-N16</f>
        <v/>
      </c>
      <c r="O17" s="3">
        <f>O13-O15-O16</f>
        <v/>
      </c>
      <c r="P17" s="3">
        <f>P13-P15-P16</f>
        <v/>
      </c>
      <c r="Q17" s="3">
        <f>Q13-Q15-Q16</f>
        <v/>
      </c>
      <c r="R17" s="3">
        <f>R13-R15-R16</f>
        <v/>
      </c>
      <c r="S17" s="3">
        <f>S13-S15-S16</f>
        <v/>
      </c>
      <c r="T17" s="3">
        <f>T13-T15-T16</f>
        <v/>
      </c>
      <c r="U17" s="3">
        <f>U13-U15-U16</f>
        <v/>
      </c>
      <c r="V17" s="3">
        <f>V13-V15-V16</f>
        <v/>
      </c>
      <c r="W17" s="3">
        <f>W13-W15-W16</f>
        <v/>
      </c>
      <c r="X17" s="3">
        <f>X13-X15-X16</f>
        <v/>
      </c>
      <c r="Y17" s="3">
        <f>Y13-Y15-Y16</f>
        <v/>
      </c>
    </row>
    <row r="18">
      <c r="A18" s="2" t="inlineStr">
        <is>
          <t>Margen EBITDA</t>
        </is>
      </c>
      <c r="B18" s="23">
        <f>IFERROR(B17/B9,0)</f>
        <v/>
      </c>
      <c r="C18" s="23">
        <f>IFERROR(C17/C9,0)</f>
        <v/>
      </c>
      <c r="D18" s="23">
        <f>IFERROR(D17/D9,0)</f>
        <v/>
      </c>
      <c r="E18" s="23">
        <f>IFERROR(E17/E9,0)</f>
        <v/>
      </c>
      <c r="F18" s="23">
        <f>IFERROR(F17/F9,0)</f>
        <v/>
      </c>
      <c r="G18" s="23">
        <f>IFERROR(G17/G9,0)</f>
        <v/>
      </c>
      <c r="H18" s="23">
        <f>IFERROR(H17/H9,0)</f>
        <v/>
      </c>
      <c r="I18" s="23">
        <f>IFERROR(I17/I9,0)</f>
        <v/>
      </c>
      <c r="J18" s="23">
        <f>IFERROR(J17/J9,0)</f>
        <v/>
      </c>
      <c r="K18" s="23">
        <f>IFERROR(K17/K9,0)</f>
        <v/>
      </c>
      <c r="L18" s="23">
        <f>IFERROR(L17/L9,0)</f>
        <v/>
      </c>
      <c r="M18" s="23">
        <f>IFERROR(M17/M9,0)</f>
        <v/>
      </c>
      <c r="N18" s="23">
        <f>IFERROR(N17/N9,0)</f>
        <v/>
      </c>
      <c r="O18" s="23">
        <f>IFERROR(O17/O9,0)</f>
        <v/>
      </c>
      <c r="P18" s="23">
        <f>IFERROR(P17/P9,0)</f>
        <v/>
      </c>
      <c r="Q18" s="23">
        <f>IFERROR(Q17/Q9,0)</f>
        <v/>
      </c>
      <c r="R18" s="23">
        <f>IFERROR(R17/R9,0)</f>
        <v/>
      </c>
      <c r="S18" s="23">
        <f>IFERROR(S17/S9,0)</f>
        <v/>
      </c>
      <c r="T18" s="23">
        <f>IFERROR(T17/T9,0)</f>
        <v/>
      </c>
      <c r="U18" s="23">
        <f>IFERROR(U17/U9,0)</f>
        <v/>
      </c>
      <c r="V18" s="23">
        <f>IFERROR(V17/V9,0)</f>
        <v/>
      </c>
      <c r="W18" s="23">
        <f>IFERROR(W17/W9,0)</f>
        <v/>
      </c>
      <c r="X18" s="23">
        <f>IFERROR(X17/X9,0)</f>
        <v/>
      </c>
      <c r="Y18" s="23">
        <f>IFERROR(Y17/Y9,0)</f>
        <v/>
      </c>
    </row>
    <row r="19">
      <c r="A19" s="2" t="inlineStr">
        <is>
          <t>Flujo acumulado post-inversión</t>
        </is>
      </c>
      <c r="B19" s="3">
        <f>-Supuestos!C24+B17</f>
        <v/>
      </c>
      <c r="C19" s="3">
        <f>B19+C17</f>
        <v/>
      </c>
      <c r="D19" s="3">
        <f>C19+D17</f>
        <v/>
      </c>
      <c r="E19" s="3">
        <f>D19+E17</f>
        <v/>
      </c>
      <c r="F19" s="3">
        <f>E19+F17</f>
        <v/>
      </c>
      <c r="G19" s="3">
        <f>F19+G17</f>
        <v/>
      </c>
      <c r="H19" s="3">
        <f>G19+H17</f>
        <v/>
      </c>
      <c r="I19" s="3">
        <f>H19+I17</f>
        <v/>
      </c>
      <c r="J19" s="3">
        <f>I19+J17</f>
        <v/>
      </c>
      <c r="K19" s="3">
        <f>J19+K17</f>
        <v/>
      </c>
      <c r="L19" s="3">
        <f>K19+L17</f>
        <v/>
      </c>
      <c r="M19" s="3">
        <f>L19+M17</f>
        <v/>
      </c>
      <c r="N19" s="3">
        <f>M19+N17</f>
        <v/>
      </c>
      <c r="O19" s="3">
        <f>N19+O17</f>
        <v/>
      </c>
      <c r="P19" s="3">
        <f>O19+P17</f>
        <v/>
      </c>
      <c r="Q19" s="3">
        <f>P19+Q17</f>
        <v/>
      </c>
      <c r="R19" s="3">
        <f>Q19+R17</f>
        <v/>
      </c>
      <c r="S19" s="3">
        <f>R19+S17</f>
        <v/>
      </c>
      <c r="T19" s="3">
        <f>S19+T17</f>
        <v/>
      </c>
      <c r="U19" s="3">
        <f>T19+U17</f>
        <v/>
      </c>
      <c r="V19" s="3">
        <f>U19+V17</f>
        <v/>
      </c>
      <c r="W19" s="3">
        <f>V19+W17</f>
        <v/>
      </c>
      <c r="X19" s="3">
        <f>W19+X17</f>
        <v/>
      </c>
      <c r="Y19" s="3">
        <f>X19+Y17</f>
        <v/>
      </c>
    </row>
    <row r="20">
      <c r="A20" s="2" t="inlineStr">
        <is>
          <t>Leads estimados</t>
        </is>
      </c>
      <c r="B20" s="16">
        <f>B5/Supuestos!C18</f>
        <v/>
      </c>
      <c r="C20" s="16">
        <f>C5/Supuestos!C18</f>
        <v/>
      </c>
      <c r="D20" s="16">
        <f>D5/Supuestos!C18</f>
        <v/>
      </c>
      <c r="E20" s="16">
        <f>E5/Supuestos!C18</f>
        <v/>
      </c>
      <c r="F20" s="16">
        <f>F5/Supuestos!C18</f>
        <v/>
      </c>
      <c r="G20" s="16">
        <f>G5/Supuestos!C18</f>
        <v/>
      </c>
      <c r="H20" s="16">
        <f>H5/Supuestos!C18</f>
        <v/>
      </c>
      <c r="I20" s="16">
        <f>I5/Supuestos!C18</f>
        <v/>
      </c>
      <c r="J20" s="16">
        <f>J5/Supuestos!C18</f>
        <v/>
      </c>
      <c r="K20" s="16">
        <f>K5/Supuestos!C18</f>
        <v/>
      </c>
      <c r="L20" s="16">
        <f>L5/Supuestos!C18</f>
        <v/>
      </c>
      <c r="M20" s="16">
        <f>M5/Supuestos!C18</f>
        <v/>
      </c>
      <c r="N20" s="16">
        <f>N5/Supuestos!C18</f>
        <v/>
      </c>
      <c r="O20" s="16">
        <f>O5/Supuestos!C18</f>
        <v/>
      </c>
      <c r="P20" s="16">
        <f>P5/Supuestos!C18</f>
        <v/>
      </c>
      <c r="Q20" s="16">
        <f>Q5/Supuestos!C18</f>
        <v/>
      </c>
      <c r="R20" s="16">
        <f>R5/Supuestos!C18</f>
        <v/>
      </c>
      <c r="S20" s="16">
        <f>S5/Supuestos!C18</f>
        <v/>
      </c>
      <c r="T20" s="16">
        <f>T5/Supuestos!C18</f>
        <v/>
      </c>
      <c r="U20" s="16">
        <f>U5/Supuestos!C18</f>
        <v/>
      </c>
      <c r="V20" s="16">
        <f>V5/Supuestos!C18</f>
        <v/>
      </c>
      <c r="W20" s="16">
        <f>W5/Supuestos!C18</f>
        <v/>
      </c>
      <c r="X20" s="16">
        <f>X5/Supuestos!C18</f>
        <v/>
      </c>
      <c r="Y20" s="16">
        <f>Y5/Supuestos!C18</f>
        <v/>
      </c>
    </row>
    <row r="21">
      <c r="A21" s="2" t="inlineStr">
        <is>
          <t>CAC estimado</t>
        </is>
      </c>
      <c r="B21" s="3">
        <f>Unit_Economics!C18</f>
        <v/>
      </c>
      <c r="C21" s="3">
        <f>Unit_Economics!C18</f>
        <v/>
      </c>
      <c r="D21" s="3">
        <f>Unit_Economics!C18</f>
        <v/>
      </c>
      <c r="E21" s="3">
        <f>Unit_Economics!C18</f>
        <v/>
      </c>
      <c r="F21" s="3">
        <f>Unit_Economics!C18</f>
        <v/>
      </c>
      <c r="G21" s="3">
        <f>Unit_Economics!C18</f>
        <v/>
      </c>
      <c r="H21" s="3">
        <f>Unit_Economics!C18</f>
        <v/>
      </c>
      <c r="I21" s="3">
        <f>Unit_Economics!C18</f>
        <v/>
      </c>
      <c r="J21" s="3">
        <f>Unit_Economics!C18</f>
        <v/>
      </c>
      <c r="K21" s="3">
        <f>Unit_Economics!C18</f>
        <v/>
      </c>
      <c r="L21" s="3">
        <f>Unit_Economics!C18</f>
        <v/>
      </c>
      <c r="M21" s="3">
        <f>Unit_Economics!C18</f>
        <v/>
      </c>
      <c r="N21" s="3">
        <f>Unit_Economics!C18</f>
        <v/>
      </c>
      <c r="O21" s="3">
        <f>Unit_Economics!C18</f>
        <v/>
      </c>
      <c r="P21" s="3">
        <f>Unit_Economics!C18</f>
        <v/>
      </c>
      <c r="Q21" s="3">
        <f>Unit_Economics!C18</f>
        <v/>
      </c>
      <c r="R21" s="3">
        <f>Unit_Economics!C18</f>
        <v/>
      </c>
      <c r="S21" s="3">
        <f>Unit_Economics!C18</f>
        <v/>
      </c>
      <c r="T21" s="3">
        <f>Unit_Economics!C18</f>
        <v/>
      </c>
      <c r="U21" s="3">
        <f>Unit_Economics!C18</f>
        <v/>
      </c>
      <c r="V21" s="3">
        <f>Unit_Economics!C18</f>
        <v/>
      </c>
      <c r="W21" s="3">
        <f>Unit_Economics!C18</f>
        <v/>
      </c>
      <c r="X21" s="3">
        <f>Unit_Economics!C18</f>
        <v/>
      </c>
      <c r="Y21" s="3">
        <f>Unit_Economics!C18</f>
        <v/>
      </c>
    </row>
  </sheetData>
  <mergeCells count="2">
    <mergeCell ref="A2:Y2"/>
    <mergeCell ref="A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10" defaultColWidth="8.83203125" defaultRowHeight="14"/>
  <cols>
    <col width="20.1640625" customWidth="1" min="1" max="1"/>
    <col width="14.1640625" customWidth="1" min="2" max="5"/>
    <col width="16.5" customWidth="1" min="6" max="8"/>
    <col width="17.83203125" customWidth="1" min="9" max="10"/>
    <col width="31.33203125" customWidth="1" min="11" max="11"/>
  </cols>
  <sheetData>
    <row r="1" ht="25.5" customHeight="1">
      <c r="A1" s="19" t="inlineStr">
        <is>
          <t>Escenarios y sensibilidad</t>
        </is>
      </c>
      <c r="L1" s="18" t="n"/>
      <c r="M1" s="18" t="n"/>
      <c r="N1" s="18" t="n"/>
    </row>
    <row r="2" ht="18" customHeight="1">
      <c r="A2" s="20" t="inlineStr">
        <is>
          <t>Compara comportamiento financiero con distintos niveles de tracción, precio, churn y pauta.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1" t="inlineStr">
        <is>
          <t>Escenario</t>
        </is>
      </c>
      <c r="B4" s="21" t="inlineStr">
        <is>
          <t>Precio/h</t>
        </is>
      </c>
      <c r="C4" s="21" t="inlineStr">
        <is>
          <t>Horas/alumno</t>
        </is>
      </c>
      <c r="D4" s="21" t="inlineStr">
        <is>
          <t>Nuevos M1</t>
        </is>
      </c>
      <c r="E4" s="21" t="inlineStr">
        <is>
          <t>Crec. nuevos</t>
        </is>
      </c>
      <c r="F4" s="21" t="inlineStr">
        <is>
          <t>Churn</t>
        </is>
      </c>
      <c r="G4" s="21" t="inlineStr">
        <is>
          <t>Pauta USD</t>
        </is>
      </c>
      <c r="H4" s="21" t="inlineStr">
        <is>
          <t>Fijos Q</t>
        </is>
      </c>
      <c r="I4" s="21" t="inlineStr">
        <is>
          <t>EBITDA M12</t>
        </is>
      </c>
      <c r="J4" s="21" t="inlineStr">
        <is>
          <t>Payback</t>
        </is>
      </c>
      <c r="K4" s="21" t="inlineStr">
        <is>
          <t>Lectura</t>
        </is>
      </c>
    </row>
    <row r="5">
      <c r="A5" s="2" t="inlineStr">
        <is>
          <t>Conservador</t>
        </is>
      </c>
      <c r="B5" s="3" t="n">
        <v>210</v>
      </c>
      <c r="C5" s="22" t="n">
        <v>4</v>
      </c>
      <c r="D5" s="22" t="n">
        <v>5</v>
      </c>
      <c r="E5" s="23" t="n">
        <v>0.05</v>
      </c>
      <c r="F5" s="23" t="n">
        <v>0.12</v>
      </c>
      <c r="G5" s="3" t="n">
        <v>250</v>
      </c>
      <c r="H5" s="3" t="n">
        <v>5200</v>
      </c>
      <c r="I5" s="3">
        <f>(IF(ABS(1-((1+E5)/(1-F5)))&lt;0.0001,D5*12*(1-F5)^11,D5*(1-F5)^11*(1-((1+E5)/(1-F5))^12)/(1-((1+E5)/(1-F5)))))*C5*B5*(1-Supuestos!C10-Supuestos!C11)-(IF(ABS(1-((1+E5)/(1-F5)))&lt;0.0001,D5*12*(1-F5)^11,D5*(1-F5)^11*(1-((1+E5)/(1-F5))^12)/(1-((1+E5)/(1-F5)))))*C5*Supuestos!C12-G5*Supuestos!C5-H5</f>
        <v/>
      </c>
      <c r="J5" s="2">
        <f>IF(I5&lt;=0,"No recupera en 12m","Ver forecast")</f>
        <v/>
      </c>
      <c r="K5" s="2" t="inlineStr">
        <is>
          <t>Sirve si la conversión tarda y se compite más por precio.</t>
        </is>
      </c>
    </row>
    <row r="6">
      <c r="A6" s="2" t="inlineStr">
        <is>
          <t>Base</t>
        </is>
      </c>
      <c r="B6" s="3">
        <f>Unit_Economics!C5</f>
        <v/>
      </c>
      <c r="C6" s="22">
        <f>Supuestos!C13</f>
        <v/>
      </c>
      <c r="D6" s="22">
        <f>Supuestos!C14</f>
        <v/>
      </c>
      <c r="E6" s="23">
        <f>Supuestos!C15</f>
        <v/>
      </c>
      <c r="F6" s="23">
        <f>Supuestos!C16</f>
        <v/>
      </c>
      <c r="G6" s="3">
        <f>Supuestos!C17</f>
        <v/>
      </c>
      <c r="H6" s="3">
        <f>Inversion_Costos!B21</f>
        <v/>
      </c>
      <c r="I6" s="3">
        <f>Forecast_Base!M17</f>
        <v/>
      </c>
      <c r="J6" s="2">
        <f>Resumen!B8</f>
        <v/>
      </c>
      <c r="K6" s="2" t="inlineStr">
        <is>
          <t>Caso recomendado: premium moderado, enfoque virtual y seguimiento.</t>
        </is>
      </c>
    </row>
    <row r="7">
      <c r="A7" s="2" t="inlineStr">
        <is>
          <t>Acelerado</t>
        </is>
      </c>
      <c r="B7" s="3" t="n">
        <v>250</v>
      </c>
      <c r="C7" s="22" t="n">
        <v>8</v>
      </c>
      <c r="D7" s="22" t="n">
        <v>12</v>
      </c>
      <c r="E7" s="23" t="n">
        <v>0.15</v>
      </c>
      <c r="F7" s="23" t="n">
        <v>0.06</v>
      </c>
      <c r="G7" s="3" t="n">
        <v>600</v>
      </c>
      <c r="H7" s="3" t="n">
        <v>7500</v>
      </c>
      <c r="I7" s="3">
        <f>(IF(ABS(1-((1+E7)/(1-F7)))&lt;0.0001,D7*12*(1-F7)^11,D7*(1-F7)^11*(1-((1+E7)/(1-F7))^12)/(1-((1+E7)/(1-F7)))))*C7*B7*(1-Supuestos!C10-Supuestos!C11)-(IF(ABS(1-((1+E7)/(1-F7)))&lt;0.0001,D7*12*(1-F7)^11,D7*(1-F7)^11*(1-((1+E7)/(1-F7))^12)/(1-((1+E7)/(1-F7)))))*C7*Supuestos!C12-G7*Supuestos!C5-H7</f>
        <v/>
      </c>
      <c r="J7" s="2">
        <f>IF(I7&lt;=0,"No recupera en 12m","&lt;12 meses probable")</f>
        <v/>
      </c>
      <c r="K7" s="2" t="inlineStr">
        <is>
          <t>Requiere fuerte ejecución comercial y calidad operativa.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1" t="inlineStr">
        <is>
          <t>Sensibilidad BE alumnos</t>
        </is>
      </c>
      <c r="B10" s="21" t="inlineStr">
        <is>
          <t>Precio/h Q200</t>
        </is>
      </c>
      <c r="C10" s="21" t="inlineStr">
        <is>
          <t>Q225</t>
        </is>
      </c>
      <c r="D10" s="21" t="inlineStr">
        <is>
          <t>Q250</t>
        </is>
      </c>
      <c r="E10" s="21" t="inlineStr">
        <is>
          <t>Q275</t>
        </is>
      </c>
      <c r="F10" s="21" t="inlineStr">
        <is>
          <t>Notas</t>
        </is>
      </c>
      <c r="G10" s="2" t="n"/>
      <c r="H10" s="2" t="n"/>
      <c r="I10" s="2" t="n"/>
      <c r="J10" s="2" t="n"/>
      <c r="K10" s="2" t="n"/>
    </row>
    <row r="11">
      <c r="A11" s="2" t="inlineStr">
        <is>
          <t>Horas/alumno 4</t>
        </is>
      </c>
      <c r="B11" s="22">
        <f>ROUND(Unit_Economics!C14/((200*(1-Supuestos!C10-Supuestos!C11)-Supuestos!C12)*4),1)</f>
        <v/>
      </c>
      <c r="C11" s="22">
        <f>ROUND(Unit_Economics!C14/((225*(1-Supuestos!C10-Supuestos!C11)-Supuestos!C12)*4),1)</f>
        <v/>
      </c>
      <c r="D11" s="22">
        <f>ROUND(Unit_Economics!C14/((250*(1-Supuestos!C10-Supuestos!C11)-Supuestos!C12)*4),1)</f>
        <v/>
      </c>
      <c r="E11" s="22">
        <f>ROUND(Unit_Economics!C14/((275*(1-Supuestos!C10-Supuestos!C11)-Supuestos!C12)*4),1)</f>
        <v/>
      </c>
      <c r="F11" s="2" t="inlineStr">
        <is>
          <t>Alumnos activos necesarios</t>
        </is>
      </c>
      <c r="G11" s="2" t="n"/>
      <c r="H11" s="2" t="n"/>
      <c r="I11" s="2" t="n"/>
      <c r="J11" s="2" t="n"/>
      <c r="K11" s="2" t="n"/>
    </row>
    <row r="12">
      <c r="A12" s="2" t="inlineStr">
        <is>
          <t>Horas/alumno 6</t>
        </is>
      </c>
      <c r="B12" s="22">
        <f>ROUND(Unit_Economics!C14/((200*(1-Supuestos!C10-Supuestos!C11)-Supuestos!C12)*6),1)</f>
        <v/>
      </c>
      <c r="C12" s="22">
        <f>ROUND(Unit_Economics!C14/((225*(1-Supuestos!C10-Supuestos!C11)-Supuestos!C12)*6),1)</f>
        <v/>
      </c>
      <c r="D12" s="22">
        <f>ROUND(Unit_Economics!C14/((250*(1-Supuestos!C10-Supuestos!C11)-Supuestos!C12)*6),1)</f>
        <v/>
      </c>
      <c r="E12" s="22">
        <f>ROUND(Unit_Economics!C14/((275*(1-Supuestos!C10-Supuestos!C11)-Supuestos!C12)*6),1)</f>
        <v/>
      </c>
      <c r="F12" s="2" t="inlineStr">
        <is>
          <t>Caso base alrededor de esta fila</t>
        </is>
      </c>
      <c r="G12" s="2" t="n"/>
      <c r="H12" s="2" t="n"/>
      <c r="I12" s="2" t="n"/>
      <c r="J12" s="2" t="n"/>
      <c r="K12" s="2" t="n"/>
    </row>
    <row r="13">
      <c r="A13" s="2" t="inlineStr">
        <is>
          <t>Horas/alumno 8</t>
        </is>
      </c>
      <c r="B13" s="22">
        <f>ROUND(Unit_Economics!C14/((200*(1-Supuestos!C10-Supuestos!C11)-Supuestos!C12)*8),1)</f>
        <v/>
      </c>
      <c r="C13" s="22">
        <f>ROUND(Unit_Economics!C14/((225*(1-Supuestos!C10-Supuestos!C11)-Supuestos!C12)*8),1)</f>
        <v/>
      </c>
      <c r="D13" s="22">
        <f>ROUND(Unit_Economics!C14/((250*(1-Supuestos!C10-Supuestos!C11)-Supuestos!C12)*8),1)</f>
        <v/>
      </c>
      <c r="E13" s="22">
        <f>ROUND(Unit_Economics!C14/((275*(1-Supuestos!C10-Supuestos!C11)-Supuestos!C12)*8),1)</f>
        <v/>
      </c>
      <c r="F13" s="2" t="inlineStr">
        <is>
          <t>Más horas por alumno mejora rentabilidad</t>
        </is>
      </c>
      <c r="G13" s="2" t="n"/>
      <c r="H13" s="2" t="n"/>
      <c r="I13" s="2" t="n"/>
      <c r="J13" s="2" t="n"/>
      <c r="K13" s="2" t="n"/>
    </row>
    <row r="14">
      <c r="A14" s="2" t="inlineStr">
        <is>
          <t>Horas/alumno 12</t>
        </is>
      </c>
      <c r="B14" s="22">
        <f>ROUND(Unit_Economics!C14/((200*(1-Supuestos!C10-Supuestos!C11)-Supuestos!C12)*12),1)</f>
        <v/>
      </c>
      <c r="C14" s="22">
        <f>ROUND(Unit_Economics!C14/((225*(1-Supuestos!C10-Supuestos!C11)-Supuestos!C12)*12),1)</f>
        <v/>
      </c>
      <c r="D14" s="22">
        <f>ROUND(Unit_Economics!C14/((250*(1-Supuestos!C10-Supuestos!C11)-Supuestos!C12)*12),1)</f>
        <v/>
      </c>
      <c r="E14" s="22">
        <f>ROUND(Unit_Economics!C14/((275*(1-Supuestos!C10-Supuestos!C11)-Supuestos!C12)*12),1)</f>
        <v/>
      </c>
      <c r="F14" s="2" t="inlineStr">
        <is>
          <t>Paquetes intensivos bajan BE</t>
        </is>
      </c>
      <c r="G14" s="2" t="n"/>
      <c r="H14" s="2" t="n"/>
      <c r="I14" s="2" t="n"/>
      <c r="J14" s="2" t="n"/>
      <c r="K14" s="2" t="n"/>
    </row>
  </sheetData>
  <mergeCells count="2">
    <mergeCell ref="A2:K2"/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10" defaultColWidth="8.83203125" defaultRowHeight="14"/>
  <cols>
    <col width="27.6640625" customWidth="1" min="1" max="1"/>
    <col width="14.1640625" customWidth="1" min="2" max="4"/>
    <col width="19" customWidth="1" min="5" max="5"/>
    <col width="25.1640625" customWidth="1" min="6" max="6"/>
    <col width="19" customWidth="1" min="7" max="7"/>
    <col width="38.6640625" customWidth="1" min="8" max="8"/>
  </cols>
  <sheetData>
    <row r="1" ht="25.5" customHeight="1">
      <c r="A1" s="19" t="inlineStr">
        <is>
          <t>Inversión inicial y estructura de costos</t>
        </is>
      </c>
      <c r="I1" s="18" t="n"/>
      <c r="J1" s="18" t="n"/>
      <c r="K1" s="18" t="n"/>
      <c r="L1" s="18" t="n"/>
      <c r="M1" s="18" t="n"/>
      <c r="N1" s="18" t="n"/>
    </row>
    <row r="2" ht="18" customHeight="1">
      <c r="A2" s="20" t="inlineStr">
        <is>
          <t>Estimación práctica para lanzar, operar y aprender durante los primeros meses.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1" t="inlineStr">
        <is>
          <t>Categoría</t>
        </is>
      </c>
      <c r="B4" s="21" t="inlineStr">
        <is>
          <t>Tipo</t>
        </is>
      </c>
      <c r="C4" s="21" t="inlineStr">
        <is>
          <t>Monto</t>
        </is>
      </c>
      <c r="D4" s="21" t="inlineStr">
        <is>
          <t>Unidad</t>
        </is>
      </c>
      <c r="E4" s="21" t="inlineStr">
        <is>
          <t>Momento</t>
        </is>
      </c>
      <c r="F4" s="21" t="inlineStr">
        <is>
          <t>Necesidad</t>
        </is>
      </c>
      <c r="G4" s="21" t="inlineStr">
        <is>
          <t>Fuente</t>
        </is>
      </c>
      <c r="H4" s="21" t="inlineStr">
        <is>
          <t>Notas</t>
        </is>
      </c>
    </row>
    <row r="5" ht="30" customHeight="1">
      <c r="A5" s="4" t="inlineStr">
        <is>
          <t>Landing page + dominio + hosting</t>
        </is>
      </c>
      <c r="B5" s="4" t="inlineStr">
        <is>
          <t>Inicial</t>
        </is>
      </c>
      <c r="C5" s="17" t="n">
        <v>5000</v>
      </c>
      <c r="D5" s="4" t="inlineStr">
        <is>
          <t>Q</t>
        </is>
      </c>
      <c r="E5" s="4" t="inlineStr">
        <is>
          <t>Mes 0</t>
        </is>
      </c>
      <c r="F5" s="4" t="inlineStr">
        <is>
          <t>Alta</t>
        </is>
      </c>
      <c r="G5" s="4" t="inlineStr">
        <is>
          <t>A14</t>
        </is>
      </c>
      <c r="H5" s="4" t="inlineStr">
        <is>
          <t>Página de venta con WhatsApp, tracking y formularios.</t>
        </is>
      </c>
    </row>
    <row r="6" ht="15" customHeight="1">
      <c r="A6" s="4" t="inlineStr">
        <is>
          <t>Branding y creatividades iniciales</t>
        </is>
      </c>
      <c r="B6" s="4" t="inlineStr">
        <is>
          <t>Inicial</t>
        </is>
      </c>
      <c r="C6" s="17" t="n">
        <v>3000</v>
      </c>
      <c r="D6" s="4" t="inlineStr">
        <is>
          <t>Q</t>
        </is>
      </c>
      <c r="E6" s="4" t="inlineStr">
        <is>
          <t>Mes 0</t>
        </is>
      </c>
      <c r="F6" s="4" t="inlineStr">
        <is>
          <t>Alta</t>
        </is>
      </c>
      <c r="G6" s="4" t="inlineStr">
        <is>
          <t>A14</t>
        </is>
      </c>
      <c r="H6" s="4" t="inlineStr">
        <is>
          <t>Identidad, plantillas, anuncios, carruseles.</t>
        </is>
      </c>
    </row>
    <row r="7" ht="15" customHeight="1">
      <c r="A7" s="4" t="inlineStr">
        <is>
          <t>Pauta de prueba inicial</t>
        </is>
      </c>
      <c r="B7" s="4" t="inlineStr">
        <is>
          <t>Inicial</t>
        </is>
      </c>
      <c r="C7" s="17" t="n">
        <v>4000</v>
      </c>
      <c r="D7" s="4" t="inlineStr">
        <is>
          <t>Q</t>
        </is>
      </c>
      <c r="E7" s="4" t="inlineStr">
        <is>
          <t>Mes 0-1</t>
        </is>
      </c>
      <c r="F7" s="4" t="inlineStr">
        <is>
          <t>Alta</t>
        </is>
      </c>
      <c r="G7" s="4" t="inlineStr">
        <is>
          <t>N04</t>
        </is>
      </c>
      <c r="H7" s="4" t="inlineStr">
        <is>
          <t>Validar mensajes, audiencias y CPL.</t>
        </is>
      </c>
    </row>
    <row r="8" ht="30" customHeight="1">
      <c r="A8" s="4" t="inlineStr">
        <is>
          <t>Reclutamiento y capacitación tutores</t>
        </is>
      </c>
      <c r="B8" s="4" t="inlineStr">
        <is>
          <t>Inicial</t>
        </is>
      </c>
      <c r="C8" s="17" t="n">
        <v>2500</v>
      </c>
      <c r="D8" s="4" t="inlineStr">
        <is>
          <t>Q</t>
        </is>
      </c>
      <c r="E8" s="4" t="inlineStr">
        <is>
          <t>Mes 0</t>
        </is>
      </c>
      <c r="F8" s="4" t="inlineStr">
        <is>
          <t>Alta</t>
        </is>
      </c>
      <c r="G8" s="4" t="inlineStr">
        <is>
          <t>A14</t>
        </is>
      </c>
      <c r="H8" s="4" t="inlineStr">
        <is>
          <t>Guías, scripts, rúbricas y onboarding.</t>
        </is>
      </c>
    </row>
    <row r="9" ht="30" customHeight="1">
      <c r="A9" s="4" t="inlineStr">
        <is>
          <t>Setup legal/contable/pagos</t>
        </is>
      </c>
      <c r="B9" s="4" t="inlineStr">
        <is>
          <t>Inicial</t>
        </is>
      </c>
      <c r="C9" s="17" t="n">
        <v>2000</v>
      </c>
      <c r="D9" s="4" t="inlineStr">
        <is>
          <t>Q</t>
        </is>
      </c>
      <c r="E9" s="4" t="inlineStr">
        <is>
          <t>Mes 0</t>
        </is>
      </c>
      <c r="F9" s="4" t="inlineStr">
        <is>
          <t>Media</t>
        </is>
      </c>
      <c r="G9" s="4" t="inlineStr">
        <is>
          <t>A14</t>
        </is>
      </c>
      <c r="H9" s="4" t="inlineStr">
        <is>
          <t>Facturación, contratos, términos, métodos de cobro.</t>
        </is>
      </c>
    </row>
    <row r="10" ht="30" customHeight="1">
      <c r="A10" s="4" t="inlineStr">
        <is>
          <t>Equipo demostrativo / pizarra digital</t>
        </is>
      </c>
      <c r="B10" s="4" t="inlineStr">
        <is>
          <t>Inicial</t>
        </is>
      </c>
      <c r="C10" s="17" t="n">
        <v>5000</v>
      </c>
      <c r="D10" s="4" t="inlineStr">
        <is>
          <t>Q</t>
        </is>
      </c>
      <c r="E10" s="4" t="inlineStr">
        <is>
          <t>Mes 0</t>
        </is>
      </c>
      <c r="F10" s="4" t="inlineStr">
        <is>
          <t>Media</t>
        </is>
      </c>
      <c r="G10" s="4" t="inlineStr">
        <is>
          <t>N09</t>
        </is>
      </c>
      <c r="H10" s="4" t="inlineStr">
        <is>
          <t>iPad/tablet, stylus o herramienta equivalente para demos.</t>
        </is>
      </c>
    </row>
    <row r="11" ht="15" customHeight="1">
      <c r="A11" s="4" t="inlineStr">
        <is>
          <t>Contingencia de lanzamiento</t>
        </is>
      </c>
      <c r="B11" s="4" t="inlineStr">
        <is>
          <t>Inicial</t>
        </is>
      </c>
      <c r="C11" s="17" t="n">
        <v>3000</v>
      </c>
      <c r="D11" s="4" t="inlineStr">
        <is>
          <t>Q</t>
        </is>
      </c>
      <c r="E11" s="4" t="inlineStr">
        <is>
          <t>Mes 0</t>
        </is>
      </c>
      <c r="F11" s="4" t="inlineStr">
        <is>
          <t>Media</t>
        </is>
      </c>
      <c r="G11" s="4" t="inlineStr">
        <is>
          <t>A14</t>
        </is>
      </c>
      <c r="H11" s="4" t="inlineStr">
        <is>
          <t>Buffer para ajustes no previstos.</t>
        </is>
      </c>
    </row>
    <row r="12" ht="15" customHeight="1">
      <c r="A12" s="4" t="inlineStr">
        <is>
          <t>Coordinación / administración</t>
        </is>
      </c>
      <c r="B12" s="4" t="inlineStr">
        <is>
          <t>Fijo mensual</t>
        </is>
      </c>
      <c r="C12" s="17" t="n">
        <v>3000</v>
      </c>
      <c r="D12" s="4" t="inlineStr">
        <is>
          <t>Q/mes</t>
        </is>
      </c>
      <c r="E12" s="4" t="inlineStr">
        <is>
          <t>Mensual</t>
        </is>
      </c>
      <c r="F12" s="4" t="inlineStr">
        <is>
          <t>Alta</t>
        </is>
      </c>
      <c r="G12" s="4" t="inlineStr">
        <is>
          <t>A09</t>
        </is>
      </c>
      <c r="H12" s="4" t="inlineStr">
        <is>
          <t>Agenda, servicio al cliente y seguimiento.</t>
        </is>
      </c>
    </row>
    <row r="13" ht="15" customHeight="1">
      <c r="A13" s="4" t="inlineStr">
        <is>
          <t>Software y plataformas</t>
        </is>
      </c>
      <c r="B13" s="4" t="inlineStr">
        <is>
          <t>Fijo mensual</t>
        </is>
      </c>
      <c r="C13" s="17" t="n">
        <v>600</v>
      </c>
      <c r="D13" s="4" t="inlineStr">
        <is>
          <t>Q/mes</t>
        </is>
      </c>
      <c r="E13" s="4" t="inlineStr">
        <is>
          <t>Mensual</t>
        </is>
      </c>
      <c r="F13" s="4" t="inlineStr">
        <is>
          <t>Alta</t>
        </is>
      </c>
      <c r="G13" s="4" t="inlineStr">
        <is>
          <t>A10</t>
        </is>
      </c>
      <c r="H13" s="4" t="inlineStr">
        <is>
          <t>Herramientas de clase y operación.</t>
        </is>
      </c>
    </row>
    <row r="14" ht="15" customHeight="1">
      <c r="A14" s="4" t="inlineStr">
        <is>
          <t>Contenido / diseño</t>
        </is>
      </c>
      <c r="B14" s="4" t="inlineStr">
        <is>
          <t>Fijo mensual</t>
        </is>
      </c>
      <c r="C14" s="17" t="n">
        <v>1200</v>
      </c>
      <c r="D14" s="4" t="inlineStr">
        <is>
          <t>Q/mes</t>
        </is>
      </c>
      <c r="E14" s="4" t="inlineStr">
        <is>
          <t>Mensual</t>
        </is>
      </c>
      <c r="F14" s="4" t="inlineStr">
        <is>
          <t>Media</t>
        </is>
      </c>
      <c r="G14" s="4" t="inlineStr">
        <is>
          <t>A11</t>
        </is>
      </c>
      <c r="H14" s="4" t="inlineStr">
        <is>
          <t>Producción continua para redes.</t>
        </is>
      </c>
    </row>
    <row r="15" ht="15" customHeight="1">
      <c r="A15" s="4" t="inlineStr">
        <is>
          <t>Contabilidad / legal</t>
        </is>
      </c>
      <c r="B15" s="4" t="inlineStr">
        <is>
          <t>Fijo mensual</t>
        </is>
      </c>
      <c r="C15" s="17" t="n">
        <v>500</v>
      </c>
      <c r="D15" s="4" t="inlineStr">
        <is>
          <t>Q/mes</t>
        </is>
      </c>
      <c r="E15" s="4" t="inlineStr">
        <is>
          <t>Mensual</t>
        </is>
      </c>
      <c r="F15" s="4" t="inlineStr">
        <is>
          <t>Media</t>
        </is>
      </c>
      <c r="G15" s="4" t="inlineStr">
        <is>
          <t>A12</t>
        </is>
      </c>
      <c r="H15" s="4" t="inlineStr">
        <is>
          <t>Cumplimiento básico.</t>
        </is>
      </c>
    </row>
    <row r="16" ht="15" customHeight="1">
      <c r="A16" s="4" t="inlineStr">
        <is>
          <t>Misceláneos</t>
        </is>
      </c>
      <c r="B16" s="4" t="inlineStr">
        <is>
          <t>Fijo mensual</t>
        </is>
      </c>
      <c r="C16" s="17" t="n">
        <v>500</v>
      </c>
      <c r="D16" s="4" t="inlineStr">
        <is>
          <t>Q/mes</t>
        </is>
      </c>
      <c r="E16" s="4" t="inlineStr">
        <is>
          <t>Mensual</t>
        </is>
      </c>
      <c r="F16" s="4" t="inlineStr">
        <is>
          <t>Media</t>
        </is>
      </c>
      <c r="G16" s="4" t="inlineStr">
        <is>
          <t>A13</t>
        </is>
      </c>
      <c r="H16" s="4" t="inlineStr">
        <is>
          <t>Reserva operativa menor.</t>
        </is>
      </c>
    </row>
    <row r="17" ht="15" customHeight="1">
      <c r="A17" s="4" t="inlineStr">
        <is>
          <t>Pauta base</t>
        </is>
      </c>
      <c r="B17" s="4" t="inlineStr">
        <is>
          <t>Fijo mensual</t>
        </is>
      </c>
      <c r="C17" s="17" t="n">
        <v>3052</v>
      </c>
      <c r="D17" s="4" t="inlineStr">
        <is>
          <t>Q/mes</t>
        </is>
      </c>
      <c r="E17" s="4" t="inlineStr">
        <is>
          <t>Mensual</t>
        </is>
      </c>
      <c r="F17" s="4" t="inlineStr">
        <is>
          <t>Alta</t>
        </is>
      </c>
      <c r="G17" s="4" t="inlineStr">
        <is>
          <t>N04</t>
        </is>
      </c>
      <c r="H17" s="4" t="inlineStr">
        <is>
          <t>USD 400 x Q7.63.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1" t="inlineStr">
        <is>
          <t>Resumen</t>
        </is>
      </c>
      <c r="B19" s="21" t="inlineStr">
        <is>
          <t>Monto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Inversión inicial total</t>
        </is>
      </c>
      <c r="B20" s="3">
        <f>SUMIF(B5:B17,"Inicial",C5:C17)</f>
        <v/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Costos fijos mensuales sin pauta</t>
        </is>
      </c>
      <c r="B21" s="3">
        <f>SUMIFS(C5:C17,B5:B17,"Fijo mensual",A5:A17,"&lt;&gt;Pauta base")</f>
        <v/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Pauta mensual base</t>
        </is>
      </c>
      <c r="B22" s="3">
        <f>SUMIF(A5:A17,"Pauta base",C5:C17)</f>
        <v/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Costos fijos mensuales total</t>
        </is>
      </c>
      <c r="B23" s="3">
        <f>B21+B22</f>
        <v/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Capital recomendado para iniciar</t>
        </is>
      </c>
      <c r="B24" s="3">
        <f>B20+B23*2</f>
        <v/>
      </c>
      <c r="C24" s="2" t="n"/>
      <c r="D24" s="2" t="n"/>
      <c r="E24" s="2" t="n"/>
      <c r="F24" s="2" t="n"/>
      <c r="G24" s="2" t="n"/>
      <c r="H24" s="2" t="n"/>
    </row>
  </sheetData>
  <mergeCells count="2">
    <mergeCell ref="A2:H2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10" defaultColWidth="8.83203125" defaultRowHeight="14"/>
  <cols>
    <col width="10.5" customWidth="1" min="1" max="1"/>
    <col width="31.33203125" customWidth="1" min="2" max="2"/>
    <col width="20.1640625" customWidth="1" min="3" max="3"/>
    <col width="21.5" customWidth="1" min="4" max="4"/>
    <col width="41.1640625" customWidth="1" min="5" max="5"/>
    <col width="16.5" customWidth="1" min="6" max="6"/>
    <col width="14.1640625" customWidth="1" min="7" max="7"/>
    <col width="36.1640625" customWidth="1" min="8" max="8"/>
  </cols>
  <sheetData>
    <row r="1" ht="25.5" customHeight="1">
      <c r="A1" s="19" t="inlineStr">
        <is>
          <t>Fuentes, notas y checks del modelo</t>
        </is>
      </c>
      <c r="I1" s="18" t="n"/>
      <c r="J1" s="18" t="n"/>
      <c r="K1" s="18" t="n"/>
      <c r="L1" s="18" t="n"/>
      <c r="M1" s="18" t="n"/>
      <c r="N1" s="18" t="n"/>
    </row>
    <row r="2" ht="18" customHeight="1">
      <c r="A2" s="20" t="inlineStr">
        <is>
          <t>Incluye documentación Notion, fuentes externas y validaciones de consistencia.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1" t="inlineStr">
        <is>
          <t>ID</t>
        </is>
      </c>
      <c r="B4" s="21" t="inlineStr">
        <is>
          <t>Dato / supuesto</t>
        </is>
      </c>
      <c r="C4" s="21" t="inlineStr">
        <is>
          <t>Valor</t>
        </is>
      </c>
      <c r="D4" s="21" t="inlineStr">
        <is>
          <t>Fecha / periodo</t>
        </is>
      </c>
      <c r="E4" s="21" t="inlineStr">
        <is>
          <t>Fuente</t>
        </is>
      </c>
      <c r="F4" s="21" t="inlineStr">
        <is>
          <t>Tipo</t>
        </is>
      </c>
      <c r="G4" s="21" t="inlineStr">
        <is>
          <t>Confianza</t>
        </is>
      </c>
      <c r="H4" s="21" t="inlineStr">
        <is>
          <t>Notas</t>
        </is>
      </c>
    </row>
    <row r="5" ht="45" customHeight="1">
      <c r="A5" s="4" t="inlineStr">
        <is>
          <t>N01</t>
        </is>
      </c>
      <c r="B5" s="4" t="inlineStr">
        <is>
          <t>Inicio del espacio: niveles atendidos</t>
        </is>
      </c>
      <c r="C5" s="4" t="inlineStr">
        <is>
          <t>Primaria, secundaria, diversificado, universidad inicial</t>
        </is>
      </c>
      <c r="D5" s="4" t="inlineStr">
        <is>
          <t>2025-01-11</t>
        </is>
      </c>
      <c r="E5" s="4" t="inlineStr">
        <is>
          <t>Notion: Inicio del espacio de Centro de Tutorías</t>
        </is>
      </c>
      <c r="F5" s="4" t="inlineStr">
        <is>
          <t>Interna</t>
        </is>
      </c>
      <c r="G5" s="4" t="inlineStr">
        <is>
          <t>Alta</t>
        </is>
      </c>
      <c r="H5" s="4" t="inlineStr">
        <is>
          <t>Define alcance del negocio.</t>
        </is>
      </c>
    </row>
    <row r="6" ht="30" customHeight="1">
      <c r="A6" s="4" t="inlineStr">
        <is>
          <t>N02</t>
        </is>
      </c>
      <c r="B6" s="4" t="inlineStr">
        <is>
          <t>Competidor Tutorías GT</t>
        </is>
      </c>
      <c r="C6" s="4" t="inlineStr">
        <is>
          <t>Q109 virtual / Q154 presencial</t>
        </is>
      </c>
      <c r="D6" s="4" t="inlineStr">
        <is>
          <t>2025-01-11</t>
        </is>
      </c>
      <c r="E6" s="4" t="inlineStr">
        <is>
          <t>Notion: Investigación de mercado</t>
        </is>
      </c>
      <c r="F6" s="4" t="inlineStr">
        <is>
          <t>Interna</t>
        </is>
      </c>
      <c r="G6" s="4" t="inlineStr">
        <is>
          <t>Alta</t>
        </is>
      </c>
      <c r="H6" s="4" t="inlineStr">
        <is>
          <t>Respuesta registrada de competidor.</t>
        </is>
      </c>
    </row>
    <row r="7" ht="45" customHeight="1">
      <c r="A7" s="4" t="inlineStr">
        <is>
          <t>N03</t>
        </is>
      </c>
      <c r="B7" s="4" t="inlineStr">
        <is>
          <t>Precio objetivo y reparto</t>
        </is>
      </c>
      <c r="C7" s="4" t="inlineStr">
        <is>
          <t>Q225 virtual, Q275 presencial, 70% tutor / 30% centro</t>
        </is>
      </c>
      <c r="D7" s="4" t="inlineStr">
        <is>
          <t>2025-01-09</t>
        </is>
      </c>
      <c r="E7" s="4" t="inlineStr">
        <is>
          <t>Notion: Definir estrategia de precios</t>
        </is>
      </c>
      <c r="F7" s="4" t="inlineStr">
        <is>
          <t>Interna</t>
        </is>
      </c>
      <c r="G7" s="4" t="inlineStr">
        <is>
          <t>Alta</t>
        </is>
      </c>
      <c r="H7" s="4" t="inlineStr">
        <is>
          <t>Base de unit economics.</t>
        </is>
      </c>
    </row>
    <row r="8" ht="15" customHeight="1">
      <c r="A8" s="4" t="inlineStr">
        <is>
          <t>N04</t>
        </is>
      </c>
      <c r="B8" s="4" t="inlineStr">
        <is>
          <t>Presupuesto marketing sugerido</t>
        </is>
      </c>
      <c r="C8" s="4" t="inlineStr">
        <is>
          <t>USD 300-500/mes</t>
        </is>
      </c>
      <c r="D8" s="4" t="inlineStr">
        <is>
          <t>2025-01-05</t>
        </is>
      </c>
      <c r="E8" s="4" t="inlineStr">
        <is>
          <t>Notion: Plan de Marketing</t>
        </is>
      </c>
      <c r="F8" s="4" t="inlineStr">
        <is>
          <t>Interna</t>
        </is>
      </c>
      <c r="G8" s="4" t="inlineStr">
        <is>
          <t>Alta</t>
        </is>
      </c>
      <c r="H8" s="4" t="inlineStr">
        <is>
          <t>Base usa USD 400/mes.</t>
        </is>
      </c>
    </row>
    <row r="9" ht="30" customHeight="1">
      <c r="A9" s="4" t="inlineStr">
        <is>
          <t>N05</t>
        </is>
      </c>
      <c r="B9" s="4" t="inlineStr">
        <is>
          <t>Avatar y sensibilidad económica</t>
        </is>
      </c>
      <c r="C9" s="4" t="inlineStr">
        <is>
          <t>USD 100-300/mes; techo USD 500</t>
        </is>
      </c>
      <c r="D9" s="4" t="inlineStr">
        <is>
          <t>2025-01-09</t>
        </is>
      </c>
      <c r="E9" s="4" t="inlineStr">
        <is>
          <t>Notion: Avatar Cliente 360</t>
        </is>
      </c>
      <c r="F9" s="4" t="inlineStr">
        <is>
          <t>Interna</t>
        </is>
      </c>
      <c r="G9" s="4" t="inlineStr">
        <is>
          <t>Media-Alta</t>
        </is>
      </c>
      <c r="H9" s="4" t="inlineStr">
        <is>
          <t>Debe validarse con ventas reales.</t>
        </is>
      </c>
    </row>
    <row r="10" ht="30" customHeight="1">
      <c r="A10" s="4" t="inlineStr">
        <is>
          <t>N06</t>
        </is>
      </c>
      <c r="B10" s="4" t="inlineStr">
        <is>
          <t>Objeciones principales</t>
        </is>
      </c>
      <c r="C10" s="4" t="inlineStr">
        <is>
          <t>Costo, calidad tutor, resultados, seguridad</t>
        </is>
      </c>
      <c r="D10" s="4" t="inlineStr">
        <is>
          <t>2025-01-09</t>
        </is>
      </c>
      <c r="E10" s="4" t="inlineStr">
        <is>
          <t>Notion: Objeciones</t>
        </is>
      </c>
      <c r="F10" s="4" t="inlineStr">
        <is>
          <t>Interna</t>
        </is>
      </c>
      <c r="G10" s="4" t="inlineStr">
        <is>
          <t>Alta</t>
        </is>
      </c>
      <c r="H10" s="4" t="inlineStr">
        <is>
          <t>Influye en mensajes y retención.</t>
        </is>
      </c>
    </row>
    <row r="11" ht="30" customHeight="1">
      <c r="A11" s="4" t="inlineStr">
        <is>
          <t>N07</t>
        </is>
      </c>
      <c r="B11" s="4" t="inlineStr">
        <is>
          <t>Canales y plan de marketing</t>
        </is>
      </c>
      <c r="C11" s="4" t="inlineStr">
        <is>
          <t>Meta, Google, TikTok; 50/30/20</t>
        </is>
      </c>
      <c r="D11" s="4" t="inlineStr">
        <is>
          <t>2025-01-09</t>
        </is>
      </c>
      <c r="E11" s="4" t="inlineStr">
        <is>
          <t>Notion: Estrategia de Marketing</t>
        </is>
      </c>
      <c r="F11" s="4" t="inlineStr">
        <is>
          <t>Interna</t>
        </is>
      </c>
      <c r="G11" s="4" t="inlineStr">
        <is>
          <t>Alta</t>
        </is>
      </c>
      <c r="H11" s="4" t="inlineStr">
        <is>
          <t>Guía de mezcla de pauta.</t>
        </is>
      </c>
    </row>
    <row r="12" ht="30" customHeight="1">
      <c r="A12" s="4" t="inlineStr">
        <is>
          <t>N08</t>
        </is>
      </c>
      <c r="B12" s="4" t="inlineStr">
        <is>
          <t>Segmentación de campaña</t>
        </is>
      </c>
      <c r="C12" s="4" t="inlineStr">
        <is>
          <t>Zonas 10,14,15,16,CES; 30-50 años; 202.8k-238.6k</t>
        </is>
      </c>
      <c r="D12" s="4" t="inlineStr">
        <is>
          <t>2025-01-11</t>
        </is>
      </c>
      <c r="E12" s="4" t="inlineStr">
        <is>
          <t>Notion: Lanzamiento campañas publicitarias</t>
        </is>
      </c>
      <c r="F12" s="4" t="inlineStr">
        <is>
          <t>Interna</t>
        </is>
      </c>
      <c r="G12" s="4" t="inlineStr">
        <is>
          <t>Alta</t>
        </is>
      </c>
      <c r="H12" s="4" t="inlineStr">
        <is>
          <t>Público inicial para test.</t>
        </is>
      </c>
    </row>
    <row r="13" ht="30" customHeight="1">
      <c r="A13" s="4" t="inlineStr">
        <is>
          <t>N09</t>
        </is>
      </c>
      <c r="B13" s="4" t="inlineStr">
        <is>
          <t>Recursos clave</t>
        </is>
      </c>
      <c r="C13" s="4" t="inlineStr">
        <is>
          <t>Zoom/iPads/pizarras interactivas</t>
        </is>
      </c>
      <c r="D13" s="4" t="inlineStr">
        <is>
          <t>2025-01-05</t>
        </is>
      </c>
      <c r="E13" s="4" t="inlineStr">
        <is>
          <t>Notion: Business Model Canvas</t>
        </is>
      </c>
      <c r="F13" s="4" t="inlineStr">
        <is>
          <t>Interna</t>
        </is>
      </c>
      <c r="G13" s="4" t="inlineStr">
        <is>
          <t>Alta</t>
        </is>
      </c>
      <c r="H13" s="4" t="inlineStr">
        <is>
          <t>Soporta inversión de equipo demo.</t>
        </is>
      </c>
    </row>
    <row r="14" ht="30" customHeight="1">
      <c r="A14" s="4" t="inlineStr">
        <is>
          <t>S01</t>
        </is>
      </c>
      <c r="B14" s="4" t="inlineStr">
        <is>
          <t>Matrícula oficial Guatemala</t>
        </is>
      </c>
      <c r="C14" s="4" t="inlineStr">
        <is>
          <t>Más de 3.0M estudiantes sector oficial</t>
        </is>
      </c>
      <c r="D14" s="4" t="inlineStr">
        <is>
          <t>2024</t>
        </is>
      </c>
      <c r="E14" s="4" t="inlineStr">
        <is>
          <t>Agencia Guatemalteca de Noticias / Mineduc</t>
        </is>
      </c>
      <c r="F14" s="4" t="inlineStr">
        <is>
          <t>Externa</t>
        </is>
      </c>
      <c r="G14" s="4" t="inlineStr">
        <is>
          <t>Media</t>
        </is>
      </c>
      <c r="H14" s="4" t="inlineStr">
        <is>
          <t>Demanda educativa amplia; no equivale a mercado pagador.</t>
        </is>
      </c>
    </row>
    <row r="15" ht="15" customHeight="1">
      <c r="A15" s="4" t="inlineStr">
        <is>
          <t>S02</t>
        </is>
      </c>
      <c r="B15" s="4" t="inlineStr">
        <is>
          <t>Rango tutorías Superprof Guatemala</t>
        </is>
      </c>
      <c r="C15" s="4" t="inlineStr">
        <is>
          <t>Q80-Q200/h habitual</t>
        </is>
      </c>
      <c r="D15" s="4" t="inlineStr">
        <is>
          <t>2026</t>
        </is>
      </c>
      <c r="E15" s="4" t="inlineStr">
        <is>
          <t>Superprof Guatemala</t>
        </is>
      </c>
      <c r="F15" s="4" t="inlineStr">
        <is>
          <t>Externa</t>
        </is>
      </c>
      <c r="G15" s="4" t="inlineStr">
        <is>
          <t>Media</t>
        </is>
      </c>
      <c r="H15" s="4" t="inlineStr">
        <is>
          <t>Oferta independiente comparable.</t>
        </is>
      </c>
    </row>
    <row r="16" ht="30" customHeight="1">
      <c r="A16" s="4" t="inlineStr">
        <is>
          <t>S03</t>
        </is>
      </c>
      <c r="B16" s="4" t="inlineStr">
        <is>
          <t>Google Ads Guatemala CPC</t>
        </is>
      </c>
      <c r="C16" s="4" t="inlineStr">
        <is>
          <t>Q2.50-Q15 CPC; Q1.5k-Q5k presupuesto inicial</t>
        </is>
      </c>
      <c r="D16" s="4" t="inlineStr">
        <is>
          <t>2026 crawled</t>
        </is>
      </c>
      <c r="E16" s="4" t="inlineStr">
        <is>
          <t>SéOnline Marketing</t>
        </is>
      </c>
      <c r="F16" s="4" t="inlineStr">
        <is>
          <t>Externa</t>
        </is>
      </c>
      <c r="G16" s="4" t="inlineStr">
        <is>
          <t>Media</t>
        </is>
      </c>
      <c r="H16" s="4" t="inlineStr">
        <is>
          <t>Útil para validar presupuesto de pauta.</t>
        </is>
      </c>
    </row>
    <row r="17" ht="30" customHeight="1">
      <c r="A17" s="4" t="inlineStr">
        <is>
          <t>S04</t>
        </is>
      </c>
      <c r="B17" s="4" t="inlineStr">
        <is>
          <t>Anuncios clasificados tutorías</t>
        </is>
      </c>
      <c r="C17" s="4" t="inlineStr">
        <is>
          <t>Q50/h económico observado</t>
        </is>
      </c>
      <c r="D17" s="4" t="inlineStr">
        <is>
          <t>2026</t>
        </is>
      </c>
      <c r="E17" s="4" t="inlineStr">
        <is>
          <t>Encuentra24 Guatemala</t>
        </is>
      </c>
      <c r="F17" s="4" t="inlineStr">
        <is>
          <t>Externa</t>
        </is>
      </c>
      <c r="G17" s="4" t="inlineStr">
        <is>
          <t>Baja-Media</t>
        </is>
      </c>
      <c r="H17" s="4" t="inlineStr">
        <is>
          <t>Referencia de cola baja del mercado.</t>
        </is>
      </c>
    </row>
    <row r="18" ht="15" customHeight="1">
      <c r="A18" s="4" t="inlineStr">
        <is>
          <t>S08</t>
        </is>
      </c>
      <c r="B18" s="4" t="inlineStr">
        <is>
          <t>Tipo de cambio</t>
        </is>
      </c>
      <c r="C18" s="4" t="inlineStr">
        <is>
          <t>Q7.63/USD aprox.</t>
        </is>
      </c>
      <c r="D18" s="4" t="inlineStr">
        <is>
          <t>2026-05</t>
        </is>
      </c>
      <c r="E18" s="4" t="inlineStr">
        <is>
          <t>Banco de Guatemala / nota cambiaria</t>
        </is>
      </c>
      <c r="F18" s="4" t="inlineStr">
        <is>
          <t>Externa</t>
        </is>
      </c>
      <c r="G18" s="4" t="inlineStr">
        <is>
          <t>Media</t>
        </is>
      </c>
      <c r="H18" s="4" t="inlineStr">
        <is>
          <t>Actualizar al ejecutar pauta real.</t>
        </is>
      </c>
    </row>
    <row r="19" ht="15" customHeight="1">
      <c r="A19" s="4" t="inlineStr">
        <is>
          <t>A01</t>
        </is>
      </c>
      <c r="B19" s="4" t="inlineStr">
        <is>
          <t>Mix virtual/presencial</t>
        </is>
      </c>
      <c r="C19" s="4" t="inlineStr">
        <is>
          <t>80% / 20%</t>
        </is>
      </c>
      <c r="D19" s="4" t="inlineStr">
        <is>
          <t>Modelo</t>
        </is>
      </c>
      <c r="E19" s="4" t="inlineStr">
        <is>
          <t>Supuesto analista</t>
        </is>
      </c>
      <c r="F19" s="4" t="inlineStr">
        <is>
          <t>Supuesto</t>
        </is>
      </c>
      <c r="G19" s="4" t="inlineStr">
        <is>
          <t>Media</t>
        </is>
      </c>
      <c r="H19" s="4" t="inlineStr">
        <is>
          <t>Optimiza escalabilidad virtual.</t>
        </is>
      </c>
    </row>
    <row r="20" ht="15" customHeight="1">
      <c r="A20" s="4" t="inlineStr">
        <is>
          <t>A02</t>
        </is>
      </c>
      <c r="B20" s="4" t="inlineStr">
        <is>
          <t>Comisión de pagos</t>
        </is>
      </c>
      <c r="C20" s="4" t="inlineStr">
        <is>
          <t>3%</t>
        </is>
      </c>
      <c r="D20" s="4" t="inlineStr">
        <is>
          <t>Modelo</t>
        </is>
      </c>
      <c r="E20" s="4" t="inlineStr">
        <is>
          <t>Supuesto analista</t>
        </is>
      </c>
      <c r="F20" s="4" t="inlineStr">
        <is>
          <t>Supuesto</t>
        </is>
      </c>
      <c r="G20" s="4" t="inlineStr">
        <is>
          <t>Media</t>
        </is>
      </c>
      <c r="H20" s="4" t="inlineStr">
        <is>
          <t>Reemplazar con proveedor real.</t>
        </is>
      </c>
    </row>
    <row r="21" ht="15" customHeight="1">
      <c r="A21" s="4" t="inlineStr">
        <is>
          <t>A04</t>
        </is>
      </c>
      <c r="B21" s="4" t="inlineStr">
        <is>
          <t>Horas promedio por alumno</t>
        </is>
      </c>
      <c r="C21" s="4" t="inlineStr">
        <is>
          <t>6/mes</t>
        </is>
      </c>
      <c r="D21" s="4" t="inlineStr">
        <is>
          <t>Modelo</t>
        </is>
      </c>
      <c r="E21" s="4" t="inlineStr">
        <is>
          <t>Supuesto analista</t>
        </is>
      </c>
      <c r="F21" s="4" t="inlineStr">
        <is>
          <t>Supuesto</t>
        </is>
      </c>
      <c r="G21" s="4" t="inlineStr">
        <is>
          <t>Media</t>
        </is>
      </c>
      <c r="H21" s="4" t="inlineStr">
        <is>
          <t>Equivale a 1-2 horas por semana.</t>
        </is>
      </c>
    </row>
    <row r="22" ht="15" customHeight="1">
      <c r="A22" s="4" t="inlineStr">
        <is>
          <t>A06</t>
        </is>
      </c>
      <c r="B22" s="4" t="inlineStr">
        <is>
          <t>Churn mensual</t>
        </is>
      </c>
      <c r="C22" s="4" t="inlineStr">
        <is>
          <t>8%</t>
        </is>
      </c>
      <c r="D22" s="4" t="inlineStr">
        <is>
          <t>Modelo</t>
        </is>
      </c>
      <c r="E22" s="4" t="inlineStr">
        <is>
          <t>Supuesto analista</t>
        </is>
      </c>
      <c r="F22" s="4" t="inlineStr">
        <is>
          <t>Supuesto</t>
        </is>
      </c>
      <c r="G22" s="4" t="inlineStr">
        <is>
          <t>Media</t>
        </is>
      </c>
      <c r="H22" s="4" t="inlineStr">
        <is>
          <t>Medir por cohortes.</t>
        </is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1" t="inlineStr">
        <is>
          <t>Check</t>
        </is>
      </c>
      <c r="B25" s="21" t="inlineStr">
        <is>
          <t>Actual</t>
        </is>
      </c>
      <c r="C25" s="21" t="inlineStr">
        <is>
          <t>Esperado</t>
        </is>
      </c>
      <c r="D25" s="21" t="inlineStr">
        <is>
          <t>Diferencia</t>
        </is>
      </c>
      <c r="E25" s="21" t="inlineStr">
        <is>
          <t>Tolerancia</t>
        </is>
      </c>
      <c r="F25" s="21" t="inlineStr">
        <is>
          <t>Estado</t>
        </is>
      </c>
      <c r="G25" s="2" t="n"/>
      <c r="H25" s="2" t="n"/>
    </row>
    <row r="26">
      <c r="A26" s="2" t="inlineStr">
        <is>
          <t>Mix suma 100%</t>
        </is>
      </c>
      <c r="B26" s="23">
        <f>Supuestos!C8+Supuestos!C9</f>
        <v/>
      </c>
      <c r="C26" s="23" t="n">
        <v>1</v>
      </c>
      <c r="D26" s="23">
        <f>B26-C26</f>
        <v/>
      </c>
      <c r="E26" s="2" t="n">
        <v>0.0001</v>
      </c>
      <c r="F26" s="2">
        <f>IF(ABS(D26)&lt;=E26,"OK","Revisar")</f>
        <v/>
      </c>
      <c r="G26" s="2" t="n"/>
      <c r="H26" s="2" t="n"/>
    </row>
    <row r="27">
      <c r="A27" s="2" t="inlineStr">
        <is>
          <t>Precio ponderado positivo</t>
        </is>
      </c>
      <c r="B27" s="3">
        <f>Unit_Economics!C5</f>
        <v/>
      </c>
      <c r="C27" s="2" t="inlineStr">
        <is>
          <t>&gt;0</t>
        </is>
      </c>
      <c r="D27" s="2" t="n"/>
      <c r="E27" s="2" t="n"/>
      <c r="F27" s="2">
        <f>IF(B27&gt;0,"OK","Revisar")</f>
        <v/>
      </c>
      <c r="G27" s="2" t="n"/>
      <c r="H27" s="2" t="n"/>
    </row>
    <row r="28">
      <c r="A28" s="2" t="inlineStr">
        <is>
          <t>Contribución positiva</t>
        </is>
      </c>
      <c r="B28" s="3">
        <f>Unit_Economics!C9</f>
        <v/>
      </c>
      <c r="C28" s="2" t="inlineStr">
        <is>
          <t>&gt;0</t>
        </is>
      </c>
      <c r="D28" s="2" t="n"/>
      <c r="E28" s="2" t="n"/>
      <c r="F28" s="2">
        <f>IF(B28&gt;0,"OK","Revisar")</f>
        <v/>
      </c>
      <c r="G28" s="2" t="n"/>
      <c r="H28" s="2" t="n"/>
    </row>
    <row r="29">
      <c r="A29" s="2" t="inlineStr">
        <is>
          <t>Forecast mes 12 revenue</t>
        </is>
      </c>
      <c r="B29" s="3">
        <f>Forecast_Base!M9</f>
        <v/>
      </c>
      <c r="C29" s="2" t="inlineStr">
        <is>
          <t>&gt;0</t>
        </is>
      </c>
      <c r="D29" s="2" t="n"/>
      <c r="E29" s="2" t="n"/>
      <c r="F29" s="2">
        <f>IF(B29&gt;0,"OK","Revisar")</f>
        <v/>
      </c>
      <c r="G29" s="2" t="n"/>
      <c r="H29" s="2" t="n"/>
    </row>
    <row r="30">
      <c r="A30" s="2" t="inlineStr">
        <is>
          <t>EBITDA se vuelve positivo</t>
        </is>
      </c>
      <c r="B30" s="2">
        <f>COUNTIF(Forecast_Base!B17:Y17,"&gt;0")</f>
        <v/>
      </c>
      <c r="C30" s="2" t="inlineStr">
        <is>
          <t>&gt;0 meses</t>
        </is>
      </c>
      <c r="D30" s="2" t="n"/>
      <c r="E30" s="2" t="n"/>
      <c r="F30" s="2">
        <f>IF(B30&gt;0,"OK","Revisar")</f>
        <v/>
      </c>
      <c r="G30" s="2" t="n"/>
      <c r="H30" s="2" t="n"/>
    </row>
    <row r="31">
      <c r="A31" s="2" t="inlineStr">
        <is>
          <t>Flujo acumulado recupera inversión</t>
        </is>
      </c>
      <c r="B31" s="2">
        <f>COUNTIF(Forecast_Base!B19:Y19,"&gt;0")</f>
        <v/>
      </c>
      <c r="C31" s="2" t="inlineStr">
        <is>
          <t>&gt;=0 meses</t>
        </is>
      </c>
      <c r="D31" s="2" t="n"/>
      <c r="E31" s="2" t="n"/>
      <c r="F31" s="2">
        <f>IF(B31&gt;0,"OK - en horizonte","No en horizonte")</f>
        <v/>
      </c>
      <c r="G31" s="2" t="n"/>
      <c r="H31" s="2" t="n"/>
    </row>
  </sheetData>
  <mergeCells count="2">
    <mergeCell ref="A2:H2"/>
    <mergeCell ref="A1:H1"/>
  </mergeCells>
  <conditionalFormatting sqref="F26:F31">
    <cfRule type="containsText" priority="1" operator="containsText" dxfId="1" text="OK"/>
    <cfRule type="containsText" priority="2" operator="containsText" dxfId="0" text="Revisar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2026-05-18T17:13:34Z</dcterms:created>
  <dcterms:modified xmlns:dcterms="http://purl.org/dc/terms/" xmlns:xsi="http://www.w3.org/2001/XMLSchema-instance" xsi:type="dcterms:W3CDTF">2026-06-02T19:47:03Z</dcterms:modified>
  <cp:lastModifiedBy>Antonio Polanco</cp:lastModifiedBy>
</cp:coreProperties>
</file>