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antoniopolanco/Library/CloudStorage/GoogleDrive-apolancog@gmail.com/Mi unidad/NEGOCIOS/CENTRO DE TUTORIAS/CETU AGENT/"/>
    </mc:Choice>
  </mc:AlternateContent>
  <xr:revisionPtr revIDLastSave="0" documentId="8_{AC9A3CD7-2C7E-3248-B3D8-35167EFAC8C4}" xr6:coauthVersionLast="47" xr6:coauthVersionMax="47" xr10:uidLastSave="{00000000-0000-0000-0000-000000000000}"/>
  <bookViews>
    <workbookView xWindow="0" yWindow="600" windowWidth="51200" windowHeight="28200" xr2:uid="{00000000-000D-0000-FFFF-FFFF00000000}"/>
  </bookViews>
  <sheets>
    <sheet name="Resumen" sheetId="1" r:id="rId1"/>
    <sheet name="Supuestos" sheetId="2" r:id="rId2"/>
    <sheet name="Mercado" sheetId="3" r:id="rId3"/>
    <sheet name="Unit_Economics" sheetId="4" r:id="rId4"/>
    <sheet name="Forecast_Base" sheetId="5" r:id="rId5"/>
    <sheet name="Escenarios" sheetId="6" r:id="rId6"/>
    <sheet name="Inversion_Costos" sheetId="7" r:id="rId7"/>
    <sheet name="Fuentes_Chec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8" l="1"/>
  <c r="F27" i="8" s="1"/>
  <c r="B26" i="8"/>
  <c r="D26" i="8" s="1"/>
  <c r="F26" i="8" s="1"/>
  <c r="B22" i="7"/>
  <c r="B21" i="7"/>
  <c r="B20" i="7"/>
  <c r="I7" i="6"/>
  <c r="G6" i="6"/>
  <c r="F6" i="6"/>
  <c r="N33" i="1" s="1"/>
  <c r="E6" i="6"/>
  <c r="D6" i="6"/>
  <c r="C6" i="6"/>
  <c r="B6" i="6"/>
  <c r="M33" i="1" s="1"/>
  <c r="I5" i="6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C21" i="5"/>
  <c r="B21" i="5"/>
  <c r="B20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B43" i="1" s="1"/>
  <c r="L15" i="5"/>
  <c r="K15" i="5"/>
  <c r="J15" i="5"/>
  <c r="I15" i="5"/>
  <c r="H15" i="5"/>
  <c r="G15" i="5"/>
  <c r="F15" i="5"/>
  <c r="E15" i="5"/>
  <c r="D15" i="5"/>
  <c r="C15" i="5"/>
  <c r="B15" i="5"/>
  <c r="G8" i="5"/>
  <c r="B5" i="5"/>
  <c r="C18" i="4"/>
  <c r="C17" i="4"/>
  <c r="C11" i="4"/>
  <c r="C8" i="4"/>
  <c r="C5" i="4"/>
  <c r="C38" i="1"/>
  <c r="A38" i="1"/>
  <c r="C37" i="1"/>
  <c r="A37" i="1"/>
  <c r="C36" i="1"/>
  <c r="A36" i="1"/>
  <c r="C35" i="1"/>
  <c r="A35" i="1"/>
  <c r="N34" i="1"/>
  <c r="M34" i="1"/>
  <c r="L34" i="1"/>
  <c r="J34" i="1"/>
  <c r="C34" i="1"/>
  <c r="A34" i="1"/>
  <c r="L33" i="1"/>
  <c r="J33" i="1"/>
  <c r="C33" i="1"/>
  <c r="A33" i="1"/>
  <c r="N32" i="1"/>
  <c r="M32" i="1"/>
  <c r="L32" i="1"/>
  <c r="J32" i="1"/>
  <c r="C32" i="1"/>
  <c r="A32" i="1"/>
  <c r="C31" i="1"/>
  <c r="A31" i="1"/>
  <c r="C30" i="1"/>
  <c r="A30" i="1"/>
  <c r="C29" i="1"/>
  <c r="A29" i="1"/>
  <c r="G28" i="1"/>
  <c r="C28" i="1"/>
  <c r="A28" i="1"/>
  <c r="G27" i="1"/>
  <c r="C27" i="1"/>
  <c r="A27" i="1"/>
  <c r="G26" i="1"/>
  <c r="C26" i="1"/>
  <c r="A26" i="1"/>
  <c r="G25" i="1"/>
  <c r="C25" i="1"/>
  <c r="A25" i="1"/>
  <c r="G24" i="1"/>
  <c r="C24" i="1"/>
  <c r="A24" i="1"/>
  <c r="G23" i="1"/>
  <c r="C23" i="1"/>
  <c r="A23" i="1"/>
  <c r="G22" i="1"/>
  <c r="C22" i="1"/>
  <c r="A22" i="1"/>
  <c r="G21" i="1"/>
  <c r="C21" i="1"/>
  <c r="A21" i="1"/>
  <c r="G20" i="1"/>
  <c r="C20" i="1"/>
  <c r="A20" i="1"/>
  <c r="G19" i="1"/>
  <c r="C19" i="1"/>
  <c r="A19" i="1"/>
  <c r="G18" i="1"/>
  <c r="C18" i="1"/>
  <c r="A18" i="1"/>
  <c r="G17" i="1"/>
  <c r="C17" i="1"/>
  <c r="A17" i="1"/>
  <c r="G16" i="1"/>
  <c r="C16" i="1"/>
  <c r="A16" i="1"/>
  <c r="G15" i="1"/>
  <c r="C15" i="1"/>
  <c r="A15" i="1"/>
  <c r="G14" i="1"/>
  <c r="G13" i="1"/>
  <c r="G12" i="1"/>
  <c r="G11" i="1"/>
  <c r="G10" i="1"/>
  <c r="G9" i="1"/>
  <c r="G8" i="1"/>
  <c r="G7" i="1"/>
  <c r="G6" i="1"/>
  <c r="G5" i="1"/>
  <c r="B5" i="1"/>
  <c r="B23" i="7" l="1"/>
  <c r="X16" i="5"/>
  <c r="W16" i="5"/>
  <c r="V16" i="5"/>
  <c r="U16" i="5"/>
  <c r="T16" i="5"/>
  <c r="S16" i="5"/>
  <c r="R16" i="5"/>
  <c r="Q16" i="5"/>
  <c r="P16" i="5"/>
  <c r="O16" i="5"/>
  <c r="N16" i="5"/>
  <c r="M16" i="5"/>
  <c r="B44" i="1" s="1"/>
  <c r="L16" i="5"/>
  <c r="K16" i="5"/>
  <c r="J16" i="5"/>
  <c r="I16" i="5"/>
  <c r="H16" i="5"/>
  <c r="G16" i="5"/>
  <c r="F16" i="5"/>
  <c r="E16" i="5"/>
  <c r="D16" i="5"/>
  <c r="B16" i="5"/>
  <c r="Y16" i="5"/>
  <c r="C16" i="5"/>
  <c r="H6" i="6"/>
  <c r="J7" i="6"/>
  <c r="K34" i="1"/>
  <c r="J5" i="6"/>
  <c r="K32" i="1"/>
  <c r="C5" i="5"/>
  <c r="B6" i="5"/>
  <c r="D21" i="5"/>
  <c r="M8" i="5"/>
  <c r="Q8" i="5"/>
  <c r="J8" i="5"/>
  <c r="I8" i="5"/>
  <c r="H8" i="5"/>
  <c r="Y8" i="5"/>
  <c r="F8" i="5"/>
  <c r="E8" i="5"/>
  <c r="D8" i="5"/>
  <c r="C8" i="5"/>
  <c r="B8" i="5"/>
  <c r="C12" i="4"/>
  <c r="H7" i="4"/>
  <c r="C7" i="4"/>
  <c r="H6" i="4"/>
  <c r="C6" i="4"/>
  <c r="C9" i="4" s="1"/>
  <c r="H5" i="4"/>
  <c r="N8" i="5"/>
  <c r="O8" i="5"/>
  <c r="P8" i="5"/>
  <c r="L8" i="5"/>
  <c r="R8" i="5"/>
  <c r="S8" i="5"/>
  <c r="T8" i="5"/>
  <c r="U8" i="5"/>
  <c r="V8" i="5"/>
  <c r="W8" i="5"/>
  <c r="X8" i="5"/>
  <c r="K8" i="5"/>
  <c r="B24" i="7" l="1"/>
  <c r="C14" i="4"/>
  <c r="D5" i="5"/>
  <c r="C20" i="5"/>
  <c r="C6" i="5"/>
  <c r="B7" i="5"/>
  <c r="C10" i="4"/>
  <c r="C13" i="4"/>
  <c r="C19" i="4" s="1"/>
  <c r="B28" i="8"/>
  <c r="F28" i="8" s="1"/>
  <c r="B6" i="1"/>
  <c r="C15" i="4" l="1"/>
  <c r="C16" i="4" s="1"/>
  <c r="B7" i="1" s="1"/>
  <c r="B11" i="6"/>
  <c r="D11" i="6"/>
  <c r="E11" i="6"/>
  <c r="B12" i="6"/>
  <c r="C12" i="6"/>
  <c r="D12" i="6"/>
  <c r="E12" i="6"/>
  <c r="B13" i="6"/>
  <c r="C13" i="6"/>
  <c r="D13" i="6"/>
  <c r="E13" i="6"/>
  <c r="B14" i="6"/>
  <c r="C14" i="6"/>
  <c r="D14" i="6"/>
  <c r="E14" i="6"/>
  <c r="C11" i="6"/>
  <c r="E5" i="5"/>
  <c r="D20" i="5"/>
  <c r="D6" i="5"/>
  <c r="C7" i="5"/>
  <c r="B9" i="5"/>
  <c r="B12" i="5"/>
  <c r="F5" i="5" l="1"/>
  <c r="E20" i="5"/>
  <c r="E6" i="5"/>
  <c r="D7" i="5"/>
  <c r="C9" i="5"/>
  <c r="C12" i="5"/>
  <c r="B10" i="5"/>
  <c r="B13" i="5" s="1"/>
  <c r="B11" i="5"/>
  <c r="H5" i="1"/>
  <c r="G5" i="5" l="1"/>
  <c r="F20" i="5"/>
  <c r="F6" i="5"/>
  <c r="E7" i="5"/>
  <c r="D9" i="5"/>
  <c r="D12" i="5"/>
  <c r="C10" i="5"/>
  <c r="C11" i="5"/>
  <c r="C13" i="5"/>
  <c r="H6" i="1"/>
  <c r="B14" i="5"/>
  <c r="B17" i="5"/>
  <c r="H5" i="5" l="1"/>
  <c r="G20" i="5"/>
  <c r="G6" i="5"/>
  <c r="F7" i="5"/>
  <c r="E9" i="5"/>
  <c r="E12" i="5"/>
  <c r="D10" i="5"/>
  <c r="D11" i="5"/>
  <c r="D13" i="5"/>
  <c r="H7" i="1"/>
  <c r="C14" i="5"/>
  <c r="C17" i="5"/>
  <c r="B18" i="5"/>
  <c r="B19" i="5"/>
  <c r="I5" i="1"/>
  <c r="B8" i="1"/>
  <c r="J6" i="6" s="1"/>
  <c r="I5" i="5" l="1"/>
  <c r="H20" i="5"/>
  <c r="H6" i="5"/>
  <c r="G7" i="5"/>
  <c r="F9" i="5"/>
  <c r="F12" i="5"/>
  <c r="E10" i="5"/>
  <c r="E11" i="5"/>
  <c r="E13" i="5"/>
  <c r="H8" i="1"/>
  <c r="D14" i="5"/>
  <c r="D17" i="5"/>
  <c r="C18" i="5"/>
  <c r="I6" i="1"/>
  <c r="C19" i="5"/>
  <c r="B9" i="1"/>
  <c r="B15" i="1"/>
  <c r="J5" i="5" l="1"/>
  <c r="I20" i="5"/>
  <c r="I6" i="5"/>
  <c r="H7" i="5"/>
  <c r="G9" i="5"/>
  <c r="G12" i="5"/>
  <c r="F10" i="5"/>
  <c r="F11" i="5"/>
  <c r="F13" i="5"/>
  <c r="H9" i="1"/>
  <c r="E14" i="5"/>
  <c r="E17" i="5"/>
  <c r="D18" i="5"/>
  <c r="I7" i="1"/>
  <c r="D19" i="5"/>
  <c r="B16" i="1"/>
  <c r="K5" i="5" l="1"/>
  <c r="J20" i="5"/>
  <c r="J6" i="5"/>
  <c r="I7" i="5"/>
  <c r="H9" i="5"/>
  <c r="H12" i="5"/>
  <c r="G10" i="5"/>
  <c r="G11" i="5"/>
  <c r="G13" i="5"/>
  <c r="H10" i="1"/>
  <c r="F14" i="5"/>
  <c r="F17" i="5"/>
  <c r="E18" i="5"/>
  <c r="I8" i="1"/>
  <c r="E19" i="5"/>
  <c r="B17" i="1"/>
  <c r="L5" i="5" l="1"/>
  <c r="K20" i="5"/>
  <c r="K6" i="5"/>
  <c r="J7" i="5"/>
  <c r="I9" i="5"/>
  <c r="I12" i="5"/>
  <c r="H10" i="5"/>
  <c r="H11" i="5"/>
  <c r="H13" i="5"/>
  <c r="H11" i="1"/>
  <c r="G14" i="5"/>
  <c r="G17" i="5"/>
  <c r="F18" i="5"/>
  <c r="I9" i="1"/>
  <c r="F19" i="5"/>
  <c r="B18" i="1"/>
  <c r="M5" i="5" l="1"/>
  <c r="L20" i="5"/>
  <c r="L6" i="5"/>
  <c r="K7" i="5"/>
  <c r="J9" i="5"/>
  <c r="J12" i="5"/>
  <c r="I10" i="5"/>
  <c r="I11" i="5"/>
  <c r="I13" i="5" s="1"/>
  <c r="H12" i="1"/>
  <c r="H14" i="5"/>
  <c r="H17" i="5"/>
  <c r="G18" i="5"/>
  <c r="I10" i="1"/>
  <c r="G19" i="5"/>
  <c r="B19" i="1"/>
  <c r="N5" i="5" l="1"/>
  <c r="M20" i="5"/>
  <c r="M6" i="5"/>
  <c r="L7" i="5"/>
  <c r="K9" i="5"/>
  <c r="K12" i="5"/>
  <c r="J10" i="5"/>
  <c r="J11" i="5"/>
  <c r="J13" i="5"/>
  <c r="H13" i="1"/>
  <c r="I14" i="5"/>
  <c r="I17" i="5"/>
  <c r="H18" i="5"/>
  <c r="I11" i="1"/>
  <c r="H19" i="5"/>
  <c r="B20" i="1"/>
  <c r="O5" i="5" l="1"/>
  <c r="N20" i="5"/>
  <c r="N6" i="5"/>
  <c r="M7" i="5"/>
  <c r="L9" i="5"/>
  <c r="L12" i="5"/>
  <c r="K10" i="5"/>
  <c r="K13" i="5" s="1"/>
  <c r="K11" i="5"/>
  <c r="H14" i="1"/>
  <c r="J14" i="5"/>
  <c r="J17" i="5"/>
  <c r="I18" i="5"/>
  <c r="I12" i="1"/>
  <c r="I19" i="5"/>
  <c r="B21" i="1"/>
  <c r="P5" i="5" l="1"/>
  <c r="O20" i="5"/>
  <c r="O6" i="5"/>
  <c r="N7" i="5"/>
  <c r="M9" i="5"/>
  <c r="M12" i="5"/>
  <c r="L10" i="5"/>
  <c r="L11" i="5"/>
  <c r="L13" i="5"/>
  <c r="H15" i="1"/>
  <c r="K14" i="5"/>
  <c r="K17" i="5"/>
  <c r="J18" i="5"/>
  <c r="I13" i="1"/>
  <c r="J19" i="5"/>
  <c r="B22" i="1"/>
  <c r="Q5" i="5" l="1"/>
  <c r="P20" i="5"/>
  <c r="P6" i="5"/>
  <c r="O7" i="5"/>
  <c r="N9" i="5"/>
  <c r="N12" i="5"/>
  <c r="M10" i="5"/>
  <c r="B42" i="1" s="1"/>
  <c r="M11" i="5"/>
  <c r="B45" i="1" s="1"/>
  <c r="M13" i="5"/>
  <c r="B10" i="1"/>
  <c r="B29" i="8"/>
  <c r="F29" i="8" s="1"/>
  <c r="H16" i="1"/>
  <c r="L14" i="5"/>
  <c r="L17" i="5"/>
  <c r="K18" i="5"/>
  <c r="I14" i="1"/>
  <c r="K19" i="5"/>
  <c r="B23" i="1"/>
  <c r="R5" i="5" l="1"/>
  <c r="Q20" i="5"/>
  <c r="Q6" i="5"/>
  <c r="P7" i="5"/>
  <c r="O9" i="5"/>
  <c r="O12" i="5"/>
  <c r="N10" i="5"/>
  <c r="N13" i="5" s="1"/>
  <c r="N11" i="5"/>
  <c r="H17" i="1"/>
  <c r="M14" i="5"/>
  <c r="M17" i="5"/>
  <c r="L18" i="5"/>
  <c r="I15" i="1"/>
  <c r="L19" i="5"/>
  <c r="B24" i="1"/>
  <c r="S5" i="5" l="1"/>
  <c r="R20" i="5"/>
  <c r="R6" i="5"/>
  <c r="Q7" i="5"/>
  <c r="P9" i="5"/>
  <c r="P12" i="5"/>
  <c r="O10" i="5"/>
  <c r="O13" i="5" s="1"/>
  <c r="O11" i="5"/>
  <c r="H18" i="1"/>
  <c r="N14" i="5"/>
  <c r="N17" i="5"/>
  <c r="M18" i="5"/>
  <c r="B11" i="1"/>
  <c r="I16" i="1"/>
  <c r="I6" i="6"/>
  <c r="K33" i="1" s="1"/>
  <c r="M19" i="5"/>
  <c r="B25" i="1"/>
  <c r="T5" i="5" l="1"/>
  <c r="S20" i="5"/>
  <c r="S6" i="5"/>
  <c r="R7" i="5"/>
  <c r="Q9" i="5"/>
  <c r="Q12" i="5"/>
  <c r="P10" i="5"/>
  <c r="P11" i="5"/>
  <c r="P13" i="5"/>
  <c r="H19" i="1"/>
  <c r="O14" i="5"/>
  <c r="O17" i="5"/>
  <c r="N18" i="5"/>
  <c r="I17" i="1"/>
  <c r="N19" i="5"/>
  <c r="B26" i="1"/>
  <c r="U5" i="5" l="1"/>
  <c r="T20" i="5"/>
  <c r="T6" i="5"/>
  <c r="S7" i="5"/>
  <c r="R9" i="5"/>
  <c r="R12" i="5"/>
  <c r="Q10" i="5"/>
  <c r="Q11" i="5"/>
  <c r="Q13" i="5"/>
  <c r="H20" i="1"/>
  <c r="P14" i="5"/>
  <c r="P17" i="5"/>
  <c r="O18" i="5"/>
  <c r="I18" i="1"/>
  <c r="O19" i="5"/>
  <c r="B27" i="1"/>
  <c r="V5" i="5" l="1"/>
  <c r="U20" i="5"/>
  <c r="U6" i="5"/>
  <c r="T7" i="5"/>
  <c r="S9" i="5"/>
  <c r="S12" i="5"/>
  <c r="R10" i="5"/>
  <c r="R11" i="5"/>
  <c r="R13" i="5"/>
  <c r="H21" i="1"/>
  <c r="Q14" i="5"/>
  <c r="Q17" i="5"/>
  <c r="P18" i="5"/>
  <c r="I19" i="1"/>
  <c r="P19" i="5"/>
  <c r="B28" i="1"/>
  <c r="W5" i="5" l="1"/>
  <c r="V20" i="5"/>
  <c r="V6" i="5"/>
  <c r="U7" i="5"/>
  <c r="T9" i="5"/>
  <c r="T12" i="5"/>
  <c r="S10" i="5"/>
  <c r="S11" i="5"/>
  <c r="S13" i="5"/>
  <c r="H22" i="1"/>
  <c r="R14" i="5"/>
  <c r="R17" i="5"/>
  <c r="Q18" i="5"/>
  <c r="I20" i="1"/>
  <c r="Q19" i="5"/>
  <c r="B29" i="1"/>
  <c r="X5" i="5" l="1"/>
  <c r="W20" i="5"/>
  <c r="W6" i="5"/>
  <c r="V7" i="5"/>
  <c r="U9" i="5"/>
  <c r="U12" i="5"/>
  <c r="T10" i="5"/>
  <c r="T11" i="5"/>
  <c r="T13" i="5"/>
  <c r="H23" i="1"/>
  <c r="S14" i="5"/>
  <c r="S17" i="5"/>
  <c r="R18" i="5"/>
  <c r="I21" i="1"/>
  <c r="R19" i="5"/>
  <c r="B30" i="1"/>
  <c r="Y5" i="5" l="1"/>
  <c r="Y20" i="5" s="1"/>
  <c r="X20" i="5"/>
  <c r="X6" i="5"/>
  <c r="W7" i="5"/>
  <c r="V9" i="5"/>
  <c r="V12" i="5"/>
  <c r="U10" i="5"/>
  <c r="U11" i="5"/>
  <c r="U13" i="5"/>
  <c r="H24" i="1"/>
  <c r="T14" i="5"/>
  <c r="T17" i="5"/>
  <c r="S18" i="5"/>
  <c r="I22" i="1"/>
  <c r="S19" i="5"/>
  <c r="B31" i="1"/>
  <c r="Y6" i="5" l="1"/>
  <c r="Y7" i="5" s="1"/>
  <c r="X7" i="5"/>
  <c r="W9" i="5"/>
  <c r="W12" i="5"/>
  <c r="V10" i="5"/>
  <c r="V11" i="5"/>
  <c r="V13" i="5"/>
  <c r="H25" i="1"/>
  <c r="U14" i="5"/>
  <c r="U17" i="5"/>
  <c r="T18" i="5"/>
  <c r="I23" i="1"/>
  <c r="T19" i="5"/>
  <c r="B32" i="1"/>
  <c r="Y9" i="5" l="1"/>
  <c r="Y12" i="5"/>
  <c r="X9" i="5"/>
  <c r="X12" i="5"/>
  <c r="W10" i="5"/>
  <c r="W11" i="5"/>
  <c r="W13" i="5"/>
  <c r="H26" i="1"/>
  <c r="V14" i="5"/>
  <c r="V17" i="5"/>
  <c r="U18" i="5"/>
  <c r="I24" i="1"/>
  <c r="U19" i="5"/>
  <c r="B33" i="1"/>
  <c r="Y10" i="5" l="1"/>
  <c r="Y13" i="5" s="1"/>
  <c r="Y11" i="5"/>
  <c r="H28" i="1"/>
  <c r="X10" i="5"/>
  <c r="X11" i="5"/>
  <c r="X13" i="5"/>
  <c r="H27" i="1"/>
  <c r="W14" i="5"/>
  <c r="W17" i="5"/>
  <c r="V18" i="5"/>
  <c r="I25" i="1"/>
  <c r="V19" i="5"/>
  <c r="B34" i="1"/>
  <c r="Y14" i="5" l="1"/>
  <c r="Y17" i="5"/>
  <c r="X14" i="5"/>
  <c r="X17" i="5"/>
  <c r="W18" i="5"/>
  <c r="I26" i="1"/>
  <c r="W19" i="5"/>
  <c r="B35" i="1"/>
  <c r="B30" i="8" l="1"/>
  <c r="F30" i="8" s="1"/>
  <c r="Y18" i="5"/>
  <c r="I28" i="1"/>
  <c r="X18" i="5"/>
  <c r="I27" i="1"/>
  <c r="X19" i="5"/>
  <c r="B36" i="1"/>
  <c r="Y19" i="5" l="1"/>
  <c r="B37" i="1"/>
  <c r="B31" i="8" l="1"/>
  <c r="F31" i="8" s="1"/>
  <c r="B38" i="1"/>
</calcChain>
</file>

<file path=xl/sharedStrings.xml><?xml version="1.0" encoding="utf-8"?>
<sst xmlns="http://schemas.openxmlformats.org/spreadsheetml/2006/main" count="825" uniqueCount="457">
  <si>
    <t>Centro de Tutorías - Modelo financiero y dashboard</t>
  </si>
  <si>
    <t>Caso base editable. Construido con documentación de Notion, fuentes de mercado y supuestos explícitos.</t>
  </si>
  <si>
    <t>KPI</t>
  </si>
  <si>
    <t>Caso base</t>
  </si>
  <si>
    <t>Decisión</t>
  </si>
  <si>
    <t>Lectura ejecutiva</t>
  </si>
  <si>
    <t>Mes</t>
  </si>
  <si>
    <t>Ingresos</t>
  </si>
  <si>
    <t>EBITDA</t>
  </si>
  <si>
    <t>Precio ponderado / hora</t>
  </si>
  <si>
    <t>Precio</t>
  </si>
  <si>
    <t>El precio objetivo es premium frente a alternativas locales; debe venderse con diagnóstico, tutores calificados y reportes de avance.</t>
  </si>
  <si>
    <t>Contribución / hora</t>
  </si>
  <si>
    <t>Rentabilidad</t>
  </si>
  <si>
    <t>El modelo funciona por contribución por hora. Con la mezcla base, cada hora aporta cerca del 25% después de tutor, cobros y materiales.</t>
  </si>
  <si>
    <t>Alumnos para break-even</t>
  </si>
  <si>
    <t>Punto de equilibrio</t>
  </si>
  <si>
    <t>La meta crítica es superar el umbral de alumnos activos mensuales y sostener horas recurrentes.</t>
  </si>
  <si>
    <t>Mes EBITDA positivo</t>
  </si>
  <si>
    <t>Marketing</t>
  </si>
  <si>
    <t>La pauta base de USD 400/mes está dentro del rango recomendado en Notion; debe optimizarse por CPL y conversión en WhatsApp.</t>
  </si>
  <si>
    <t>Mes recuperación inversión</t>
  </si>
  <si>
    <t>Operación</t>
  </si>
  <si>
    <t>La calidad de tutores y seguimiento a padres reducen churn y sostienen la posibilidad de cobrar premium.</t>
  </si>
  <si>
    <t>Ingresos mes 12</t>
  </si>
  <si>
    <t>Capital</t>
  </si>
  <si>
    <t>Conviene iniciar con inversión inicial más dos meses de costos fijos para no cortar aprendizaje de campañas demasiado pronto.</t>
  </si>
  <si>
    <t>EBITDA mes 12</t>
  </si>
  <si>
    <t>Siguiente paso</t>
  </si>
  <si>
    <t>Usar los primeros 30 días para medir CPL real, conversión lead-cliente, horas promedio por alumno y retención.</t>
  </si>
  <si>
    <t>Flujo acumulado</t>
  </si>
  <si>
    <t>Break-even</t>
  </si>
  <si>
    <t>Escenario</t>
  </si>
  <si>
    <t>EBITDA M12</t>
  </si>
  <si>
    <t>Lectura</t>
  </si>
  <si>
    <t>Precio/h</t>
  </si>
  <si>
    <t>Churn</t>
  </si>
  <si>
    <t>Costo</t>
  </si>
  <si>
    <t>Monto mensual</t>
  </si>
  <si>
    <t>Pago tutores</t>
  </si>
  <si>
    <t>Pauta</t>
  </si>
  <si>
    <t>Otros fijos</t>
  </si>
  <si>
    <t>Fees + materiales</t>
  </si>
  <si>
    <t>Centro de Tutorías - Supuestos editables</t>
  </si>
  <si>
    <t>Las celdas amarillas son inputs. El caso base usa precios y margen definidos en Notion.</t>
  </si>
  <si>
    <t>Bloque</t>
  </si>
  <si>
    <t>Variable</t>
  </si>
  <si>
    <t>Valor</t>
  </si>
  <si>
    <t>Unidad</t>
  </si>
  <si>
    <t>Fuente</t>
  </si>
  <si>
    <t>Notas</t>
  </si>
  <si>
    <t>Modelo</t>
  </si>
  <si>
    <t>Tipo de cambio USD/GTQ</t>
  </si>
  <si>
    <t>Q / USD</t>
  </si>
  <si>
    <t>S08</t>
  </si>
  <si>
    <t>Banguat / referencia de mayo 2026; editable para compras de pauta en USD.</t>
  </si>
  <si>
    <t>Precios</t>
  </si>
  <si>
    <t>Precio virtual por hora</t>
  </si>
  <si>
    <t>Q/hora</t>
  </si>
  <si>
    <t>N03</t>
  </si>
  <si>
    <t>Precio objetivo definido en Notion.</t>
  </si>
  <si>
    <t>Precio presencial por hora</t>
  </si>
  <si>
    <t>Mix virtual</t>
  </si>
  <si>
    <t>% de horas</t>
  </si>
  <si>
    <t>A01</t>
  </si>
  <si>
    <t>Supuesto operativo inicial: foco virtual para escalar con menor complejidad.</t>
  </si>
  <si>
    <t>Mix presencial</t>
  </si>
  <si>
    <t>Complemento premium para zonas objetivo.</t>
  </si>
  <si>
    <t>Costos variables</t>
  </si>
  <si>
    <t>Pago a tutores</t>
  </si>
  <si>
    <t>% ingresos</t>
  </si>
  <si>
    <t>Distribución Notion: 70% tutor / 30% Centro.</t>
  </si>
  <si>
    <t>Comisión pagos</t>
  </si>
  <si>
    <t>A02</t>
  </si>
  <si>
    <t>Supuesto para pasarela, transferencias y cobros digitales.</t>
  </si>
  <si>
    <t>Materiales por hora</t>
  </si>
  <si>
    <t>A03</t>
  </si>
  <si>
    <t>Plantillas, ejercicios, recursos digitales, seguimiento.</t>
  </si>
  <si>
    <t>Demanda</t>
  </si>
  <si>
    <t>Horas por alumno al mes</t>
  </si>
  <si>
    <t>horas</t>
  </si>
  <si>
    <t>A04</t>
  </si>
  <si>
    <t>Paquete promedio: 1-2 horas por semana según necesidad.</t>
  </si>
  <si>
    <t>Alumnos nuevos mes 1</t>
  </si>
  <si>
    <t>alumnos</t>
  </si>
  <si>
    <t>A05</t>
  </si>
  <si>
    <t>Ramp-up conservador con pauta y referidos.</t>
  </si>
  <si>
    <t>Crecimiento mensual alumnos nuevos</t>
  </si>
  <si>
    <t>%</t>
  </si>
  <si>
    <t>Mejora de campañas, referidos y alianzas.</t>
  </si>
  <si>
    <t>Churn mensual</t>
  </si>
  <si>
    <t>A06</t>
  </si>
  <si>
    <t>Rotación por estacionalidad académica y necesidades puntuales.</t>
  </si>
  <si>
    <t>Pauta mensual base</t>
  </si>
  <si>
    <t>USD/mes</t>
  </si>
  <si>
    <t>N04</t>
  </si>
  <si>
    <t>Notion sugiere USD 300-500/mes; base usa punto medio.</t>
  </si>
  <si>
    <t>Crecimiento pauta cada 6 meses</t>
  </si>
  <si>
    <t>A07</t>
  </si>
  <si>
    <t>Escala gradual si se sostienen leads y conversión.</t>
  </si>
  <si>
    <t>CPL estimado</t>
  </si>
  <si>
    <t>Q/lead</t>
  </si>
  <si>
    <t>S03</t>
  </si>
  <si>
    <t>Rango construido con CPC local y embudo educativo.</t>
  </si>
  <si>
    <t>Conversión lead a cliente</t>
  </si>
  <si>
    <t>A08</t>
  </si>
  <si>
    <t>Incluye WhatsApp, diagnóstico y seguimiento.</t>
  </si>
  <si>
    <t>Costos fijos</t>
  </si>
  <si>
    <t>Coordinación / administración</t>
  </si>
  <si>
    <t>Q/mes</t>
  </si>
  <si>
    <t>A09</t>
  </si>
  <si>
    <t>Atención de WhatsApp, agenda, seguimiento y soporte.</t>
  </si>
  <si>
    <t>Software y plataformas</t>
  </si>
  <si>
    <t>A10</t>
  </si>
  <si>
    <t>Zoom/Meet, Canva, WhatsApp tools, storage, dominios.</t>
  </si>
  <si>
    <t>Contenido / diseño</t>
  </si>
  <si>
    <t>A11</t>
  </si>
  <si>
    <t>Creatividades, edición breve, parrilla de contenido.</t>
  </si>
  <si>
    <t>Contabilidad / legal</t>
  </si>
  <si>
    <t>A12</t>
  </si>
  <si>
    <t>Gestión contable básica.</t>
  </si>
  <si>
    <t>Misceláneos</t>
  </si>
  <si>
    <t>A13</t>
  </si>
  <si>
    <t>Soporte operativo y contingencias menores.</t>
  </si>
  <si>
    <t>Inversión</t>
  </si>
  <si>
    <t>Inversión inicial estimada</t>
  </si>
  <si>
    <t>Q</t>
  </si>
  <si>
    <t>A14</t>
  </si>
  <si>
    <t>Detalle en hoja Inversion_Costos.</t>
  </si>
  <si>
    <t>Análisis de mercado y señales comerciales</t>
  </si>
  <si>
    <t>Resumen de demanda, competencia, cliente objetivo y canales para Ciudad de Guatemala.</t>
  </si>
  <si>
    <t>Tema</t>
  </si>
  <si>
    <t>Insight</t>
  </si>
  <si>
    <t>Dato / Rango</t>
  </si>
  <si>
    <t>Implicación</t>
  </si>
  <si>
    <t>Confianza</t>
  </si>
  <si>
    <t>Acción recomendada</t>
  </si>
  <si>
    <t>Segmento</t>
  </si>
  <si>
    <t>Padres de 30-50 años en zonas 10, 14, 15, 16 y Carretera a El Salvador.</t>
  </si>
  <si>
    <t>202.8k-238.6k público estimado</t>
  </si>
  <si>
    <t>Nicho suficiente para piloto pagado y referidos.</t>
  </si>
  <si>
    <t>N08</t>
  </si>
  <si>
    <t>Alta</t>
  </si>
  <si>
    <t>Lanzar prueba en Meta + WhatsApp</t>
  </si>
  <si>
    <t>Dato de segmentación de campaña en Notion.</t>
  </si>
  <si>
    <t>Necesidad</t>
  </si>
  <si>
    <t>Refuerzo en matemáticas, estadística, física y materias críticas.</t>
  </si>
  <si>
    <t>Primaria a primeros años de universidad</t>
  </si>
  <si>
    <t>Oferta debe agruparse por urgencia: exámenes, nivelación, promedio.</t>
  </si>
  <si>
    <t>N01/N06</t>
  </si>
  <si>
    <t>Crear paquetes por objetivo</t>
  </si>
  <si>
    <t>La ansiedad de padres ante notas es el disparador principal.</t>
  </si>
  <si>
    <t>Precio competitivo</t>
  </si>
  <si>
    <t>Competidor Tutorías GT cobra Q109 virtual y Q154 presencial.</t>
  </si>
  <si>
    <t>Q109-Q154/h</t>
  </si>
  <si>
    <t>El precio objetivo es premium; requiere prueba, seguimiento y evidencia.</t>
  </si>
  <si>
    <t>N02</t>
  </si>
  <si>
    <t>Justificar con diagnóstico y reportes</t>
  </si>
  <si>
    <t>No competir solo por precio.</t>
  </si>
  <si>
    <t>Precio de mercado</t>
  </si>
  <si>
    <t>Plataformas y anuncios muestran rangos amplios de Q50-Q200/h.</t>
  </si>
  <si>
    <t>Q80-Q200/h común</t>
  </si>
  <si>
    <t>Q225 virtual exige posicionamiento de alta calidad.</t>
  </si>
  <si>
    <t>S02/S04</t>
  </si>
  <si>
    <t>Media</t>
  </si>
  <si>
    <t>Usar paquetes y valor agregado</t>
  </si>
  <si>
    <t>Los tutores independientes presionan precio a la baja.</t>
  </si>
  <si>
    <t>Presupuesto hogar</t>
  </si>
  <si>
    <t>Avatar en Notion estima disposición de pago mensual de USD 100-300, hasta USD 500 intensivo.</t>
  </si>
  <si>
    <t>Q763-Q2,289 base</t>
  </si>
  <si>
    <t>Paquetes mensuales de 4, 8 y 12 horas caben en rango.</t>
  </si>
  <si>
    <t>N05</t>
  </si>
  <si>
    <t>Media-Alta</t>
  </si>
  <si>
    <t>Ofrecer planes mensuales</t>
  </si>
  <si>
    <t>El precio por hora debe traducirse a progreso visible.</t>
  </si>
  <si>
    <t>Canales</t>
  </si>
  <si>
    <t>Google capta intención; Meta y TikTok generan demanda y retargeting.</t>
  </si>
  <si>
    <t>50/30/20 sugerido</t>
  </si>
  <si>
    <t>Mezcla inicial balanceada con aprendizaje rápido.</t>
  </si>
  <si>
    <t>N04/N07</t>
  </si>
  <si>
    <t>Medir CPL por canal</t>
  </si>
  <si>
    <t>WhatsApp debe cerrar la venta.</t>
  </si>
  <si>
    <t>Google Ads Guatemala reporta CPC general de Q2.50-Q15 y presupuestos iniciales de Q1,500-Q5,000.</t>
  </si>
  <si>
    <t>Q1.5k-Q5.0k/mes</t>
  </si>
  <si>
    <t>Base de Q3.1k/mes es razonable para piloto.</t>
  </si>
  <si>
    <t>Probar keywords exactas</t>
  </si>
  <si>
    <t>El CPL real debe reemplazar el supuesto al mes 1.</t>
  </si>
  <si>
    <t>Estacionalidad</t>
  </si>
  <si>
    <t>Picos esperados antes de exámenes, regreso a clases y cierre de año.</t>
  </si>
  <si>
    <t>Mar-Jun / Sep-Nov</t>
  </si>
  <si>
    <t>Forecast debe revisarse por calendario académico.</t>
  </si>
  <si>
    <t>N07/A15</t>
  </si>
  <si>
    <t>Campañas por temporada</t>
  </si>
  <si>
    <t>El modelo usa rampa lineal simplificada.</t>
  </si>
  <si>
    <t>Diferenciación</t>
  </si>
  <si>
    <t>Padres valoran seguridad, personalización, flexibilidad y seguimiento.</t>
  </si>
  <si>
    <t>Deal-makers: resultados medibles</t>
  </si>
  <si>
    <t>Reportes de progreso sostienen precio y retención.</t>
  </si>
  <si>
    <t>N05/N06</t>
  </si>
  <si>
    <t>Diseñar reporte post-sesión</t>
  </si>
  <si>
    <t>Convertir servicio en acompañamiento.</t>
  </si>
  <si>
    <t>Riesgo</t>
  </si>
  <si>
    <t>Si el tutor no conecta o no hay resultados, el churn sube.</t>
  </si>
  <si>
    <t>Churn base 8% mensual</t>
  </si>
  <si>
    <t>La operación debe controlar calidad desde el inicio.</t>
  </si>
  <si>
    <t>N06/A06</t>
  </si>
  <si>
    <t>Checklist de calidad del tutor</t>
  </si>
  <si>
    <t>Cambios de tutor y garantías reducen fricción.</t>
  </si>
  <si>
    <t>Unit economics por hora y por alumno</t>
  </si>
  <si>
    <t>Calcula margen, contribución y volumen necesario para cubrir costos fijos.</t>
  </si>
  <si>
    <t>Métrica</t>
  </si>
  <si>
    <t>Fórmula / Fuente</t>
  </si>
  <si>
    <t>Paquete</t>
  </si>
  <si>
    <t>Horas/mes</t>
  </si>
  <si>
    <t>Precio mensual</t>
  </si>
  <si>
    <t>Precio ponderado por hora</t>
  </si>
  <si>
    <t>Virtual/presencial según mix</t>
  </si>
  <si>
    <t>Plan Refuerzo</t>
  </si>
  <si>
    <t>Pago tutor por hora</t>
  </si>
  <si>
    <t>70% de ingreso</t>
  </si>
  <si>
    <t>Plan Constancia</t>
  </si>
  <si>
    <t>Comisión de cobro por hora</t>
  </si>
  <si>
    <t>3% de ingreso</t>
  </si>
  <si>
    <t>Plan Intensivo</t>
  </si>
  <si>
    <t>Input</t>
  </si>
  <si>
    <t>Contribución por hora</t>
  </si>
  <si>
    <t>Ingreso - variables</t>
  </si>
  <si>
    <t>Margen de contribución</t>
  </si>
  <si>
    <t>Contribución / ingreso</t>
  </si>
  <si>
    <t>Ingreso mensual por alumno</t>
  </si>
  <si>
    <t>Precio x horas</t>
  </si>
  <si>
    <t>Q/alumno</t>
  </si>
  <si>
    <t>Contribución mensual por alumno</t>
  </si>
  <si>
    <t>Contribución x horas</t>
  </si>
  <si>
    <t>Costos fijos mensuales base</t>
  </si>
  <si>
    <t>Operación + pauta</t>
  </si>
  <si>
    <t>Horas break-even mensual</t>
  </si>
  <si>
    <t>Fijos / contribución hora</t>
  </si>
  <si>
    <t>Alumnos break-even mensual</t>
  </si>
  <si>
    <t>Horas BE / horas alumno</t>
  </si>
  <si>
    <t>alumnos activos</t>
  </si>
  <si>
    <t>Leads necesarios por alumno</t>
  </si>
  <si>
    <t>1 / conversión</t>
  </si>
  <si>
    <t>leads</t>
  </si>
  <si>
    <t>CAC estimado</t>
  </si>
  <si>
    <t>CPL / conversión</t>
  </si>
  <si>
    <t>Q/cliente</t>
  </si>
  <si>
    <t>Payback CAC</t>
  </si>
  <si>
    <t>CAC / contribución alumno</t>
  </si>
  <si>
    <t>meses</t>
  </si>
  <si>
    <t>Forecast mensual - Caso base</t>
  </si>
  <si>
    <t>Horizonte mayo 2026 a abril 2028. Fórmulas editables y ligadas a Supuestos.</t>
  </si>
  <si>
    <t>may 26</t>
  </si>
  <si>
    <t>jun 26</t>
  </si>
  <si>
    <t>jul 26</t>
  </si>
  <si>
    <t>ago 26</t>
  </si>
  <si>
    <t>sept 26</t>
  </si>
  <si>
    <t>oct 26</t>
  </si>
  <si>
    <t>nov 26</t>
  </si>
  <si>
    <t>dic 26</t>
  </si>
  <si>
    <t>ene 27</t>
  </si>
  <si>
    <t>feb 27</t>
  </si>
  <si>
    <t>mar 27</t>
  </si>
  <si>
    <t>abr 27</t>
  </si>
  <si>
    <t>may 27</t>
  </si>
  <si>
    <t>jun 27</t>
  </si>
  <si>
    <t>jul 27</t>
  </si>
  <si>
    <t>ago 27</t>
  </si>
  <si>
    <t>sept 27</t>
  </si>
  <si>
    <t>oct 27</t>
  </si>
  <si>
    <t>nov 27</t>
  </si>
  <si>
    <t>dic 27</t>
  </si>
  <si>
    <t>ene 28</t>
  </si>
  <si>
    <t>feb 28</t>
  </si>
  <si>
    <t>mar 28</t>
  </si>
  <si>
    <t>abr 28</t>
  </si>
  <si>
    <t>Alumnos nuevos</t>
  </si>
  <si>
    <t>Alumnos activos</t>
  </si>
  <si>
    <t>Horas vendidas</t>
  </si>
  <si>
    <t>Comisiones de pago</t>
  </si>
  <si>
    <t>Materiales</t>
  </si>
  <si>
    <t>Margen bruto / contribución</t>
  </si>
  <si>
    <t>Margen contribución %</t>
  </si>
  <si>
    <t>Otros costos fijos</t>
  </si>
  <si>
    <t>Margen EBITDA</t>
  </si>
  <si>
    <t>Flujo acumulado post-inversión</t>
  </si>
  <si>
    <t>Leads estimados</t>
  </si>
  <si>
    <t>Escenarios y sensibilidad</t>
  </si>
  <si>
    <t>Compara comportamiento financiero con distintos niveles de tracción, precio, churn y pauta.</t>
  </si>
  <si>
    <t>Horas/alumno</t>
  </si>
  <si>
    <t>Nuevos M1</t>
  </si>
  <si>
    <t>Crec. nuevos</t>
  </si>
  <si>
    <t>Pauta USD</t>
  </si>
  <si>
    <t>Fijos Q</t>
  </si>
  <si>
    <t>Payback</t>
  </si>
  <si>
    <t>Conservador</t>
  </si>
  <si>
    <t>Sirve si la conversión tarda y se compite más por precio.</t>
  </si>
  <si>
    <t>Base</t>
  </si>
  <si>
    <t>Caso recomendado: premium moderado, enfoque virtual y seguimiento.</t>
  </si>
  <si>
    <t>Acelerado</t>
  </si>
  <si>
    <t>Requiere fuerte ejecución comercial y calidad operativa.</t>
  </si>
  <si>
    <t>Sensibilidad BE alumnos</t>
  </si>
  <si>
    <t>Precio/h Q200</t>
  </si>
  <si>
    <t>Q225</t>
  </si>
  <si>
    <t>Q250</t>
  </si>
  <si>
    <t>Q275</t>
  </si>
  <si>
    <t>Horas/alumno 4</t>
  </si>
  <si>
    <t>Alumnos activos necesarios</t>
  </si>
  <si>
    <t>Horas/alumno 6</t>
  </si>
  <si>
    <t>Caso base alrededor de esta fila</t>
  </si>
  <si>
    <t>Horas/alumno 8</t>
  </si>
  <si>
    <t>Más horas por alumno mejora rentabilidad</t>
  </si>
  <si>
    <t>Horas/alumno 12</t>
  </si>
  <si>
    <t>Paquetes intensivos bajan BE</t>
  </si>
  <si>
    <t>Inversión inicial y estructura de costos</t>
  </si>
  <si>
    <t>Estimación práctica para lanzar, operar y aprender durante los primeros meses.</t>
  </si>
  <si>
    <t>Categoría</t>
  </si>
  <si>
    <t>Tipo</t>
  </si>
  <si>
    <t>Monto</t>
  </si>
  <si>
    <t>Momento</t>
  </si>
  <si>
    <t>Landing page + dominio + hosting</t>
  </si>
  <si>
    <t>Inicial</t>
  </si>
  <si>
    <t>Mes 0</t>
  </si>
  <si>
    <t>Página de venta con WhatsApp, tracking y formularios.</t>
  </si>
  <si>
    <t>Branding y creatividades iniciales</t>
  </si>
  <si>
    <t>Identidad, plantillas, anuncios, carruseles.</t>
  </si>
  <si>
    <t>Pauta de prueba inicial</t>
  </si>
  <si>
    <t>Mes 0-1</t>
  </si>
  <si>
    <t>Validar mensajes, audiencias y CPL.</t>
  </si>
  <si>
    <t>Reclutamiento y capacitación tutores</t>
  </si>
  <si>
    <t>Guías, scripts, rúbricas y onboarding.</t>
  </si>
  <si>
    <t>Setup legal/contable/pagos</t>
  </si>
  <si>
    <t>Facturación, contratos, términos, métodos de cobro.</t>
  </si>
  <si>
    <t>Equipo demostrativo / pizarra digital</t>
  </si>
  <si>
    <t>N09</t>
  </si>
  <si>
    <t>iPad/tablet, stylus o herramienta equivalente para demos.</t>
  </si>
  <si>
    <t>Contingencia de lanzamiento</t>
  </si>
  <si>
    <t>Buffer para ajustes no previstos.</t>
  </si>
  <si>
    <t>Fijo mensual</t>
  </si>
  <si>
    <t>Mensual</t>
  </si>
  <si>
    <t>Agenda, servicio al cliente y seguimiento.</t>
  </si>
  <si>
    <t>Herramientas de clase y operación.</t>
  </si>
  <si>
    <t>Producción continua para redes.</t>
  </si>
  <si>
    <t>Cumplimiento básico.</t>
  </si>
  <si>
    <t>Reserva operativa menor.</t>
  </si>
  <si>
    <t>Pauta base</t>
  </si>
  <si>
    <t>USD 400 x Q7.63.</t>
  </si>
  <si>
    <t>Resumen</t>
  </si>
  <si>
    <t>Inversión inicial total</t>
  </si>
  <si>
    <t>Costos fijos mensuales sin pauta</t>
  </si>
  <si>
    <t>Costos fijos mensuales total</t>
  </si>
  <si>
    <t>Capital recomendado para iniciar</t>
  </si>
  <si>
    <t>Fuentes, notas y checks del modelo</t>
  </si>
  <si>
    <t>Incluye documentación Notion, fuentes externas y validaciones de consistencia.</t>
  </si>
  <si>
    <t>ID</t>
  </si>
  <si>
    <t>Dato / supuesto</t>
  </si>
  <si>
    <t>Fecha / periodo</t>
  </si>
  <si>
    <t>N01</t>
  </si>
  <si>
    <t>Inicio del espacio: niveles atendidos</t>
  </si>
  <si>
    <t>Primaria, secundaria, diversificado, universidad inicial</t>
  </si>
  <si>
    <t>2025-01-11</t>
  </si>
  <si>
    <t>Notion: Inicio del espacio de Centro de Tutorías</t>
  </si>
  <si>
    <t>Interna</t>
  </si>
  <si>
    <t>Define alcance del negocio.</t>
  </si>
  <si>
    <t>Competidor Tutorías GT</t>
  </si>
  <si>
    <t>Q109 virtual / Q154 presencial</t>
  </si>
  <si>
    <t>Notion: Investigación de mercado</t>
  </si>
  <si>
    <t>Respuesta registrada de competidor.</t>
  </si>
  <si>
    <t>Precio objetivo y reparto</t>
  </si>
  <si>
    <t>Q225 virtual, Q275 presencial, 70% tutor / 30% centro</t>
  </si>
  <si>
    <t>2025-01-09</t>
  </si>
  <si>
    <t>Notion: Definir estrategia de precios</t>
  </si>
  <si>
    <t>Base de unit economics.</t>
  </si>
  <si>
    <t>Presupuesto marketing sugerido</t>
  </si>
  <si>
    <t>USD 300-500/mes</t>
  </si>
  <si>
    <t>2025-01-05</t>
  </si>
  <si>
    <t>Notion: Plan de Marketing</t>
  </si>
  <si>
    <t>Base usa USD 400/mes.</t>
  </si>
  <si>
    <t>Avatar y sensibilidad económica</t>
  </si>
  <si>
    <t>USD 100-300/mes; techo USD 500</t>
  </si>
  <si>
    <t>Notion: Avatar Cliente 360</t>
  </si>
  <si>
    <t>Debe validarse con ventas reales.</t>
  </si>
  <si>
    <t>N06</t>
  </si>
  <si>
    <t>Objeciones principales</t>
  </si>
  <si>
    <t>Costo, calidad tutor, resultados, seguridad</t>
  </si>
  <si>
    <t>Notion: Objeciones</t>
  </si>
  <si>
    <t>Influye en mensajes y retención.</t>
  </si>
  <si>
    <t>N07</t>
  </si>
  <si>
    <t>Canales y plan de marketing</t>
  </si>
  <si>
    <t>Meta, Google, TikTok; 50/30/20</t>
  </si>
  <si>
    <t>Notion: Estrategia de Marketing</t>
  </si>
  <si>
    <t>Guía de mezcla de pauta.</t>
  </si>
  <si>
    <t>Segmentación de campaña</t>
  </si>
  <si>
    <t>Zonas 10,14,15,16,CES; 30-50 años; 202.8k-238.6k</t>
  </si>
  <si>
    <t>Notion: Lanzamiento campañas publicitarias</t>
  </si>
  <si>
    <t>Público inicial para test.</t>
  </si>
  <si>
    <t>Recursos clave</t>
  </si>
  <si>
    <t>Zoom/iPads/pizarras interactivas</t>
  </si>
  <si>
    <t>Notion: Business Model Canvas</t>
  </si>
  <si>
    <t>Soporta inversión de equipo demo.</t>
  </si>
  <si>
    <t>S01</t>
  </si>
  <si>
    <t>Matrícula oficial Guatemala</t>
  </si>
  <si>
    <t>Más de 3.0M estudiantes sector oficial</t>
  </si>
  <si>
    <t>2024</t>
  </si>
  <si>
    <t>Agencia Guatemalteca de Noticias / Mineduc</t>
  </si>
  <si>
    <t>Externa</t>
  </si>
  <si>
    <t>Demanda educativa amplia; no equivale a mercado pagador.</t>
  </si>
  <si>
    <t>S02</t>
  </si>
  <si>
    <t>Rango tutorías Superprof Guatemala</t>
  </si>
  <si>
    <t>Q80-Q200/h habitual</t>
  </si>
  <si>
    <t>2026</t>
  </si>
  <si>
    <t>Superprof Guatemala</t>
  </si>
  <si>
    <t>Oferta independiente comparable.</t>
  </si>
  <si>
    <t>Google Ads Guatemala CPC</t>
  </si>
  <si>
    <t>Q2.50-Q15 CPC; Q1.5k-Q5k presupuesto inicial</t>
  </si>
  <si>
    <t>2026 crawled</t>
  </si>
  <si>
    <t>SéOnline Marketing</t>
  </si>
  <si>
    <t>Útil para validar presupuesto de pauta.</t>
  </si>
  <si>
    <t>S04</t>
  </si>
  <si>
    <t>Anuncios clasificados tutorías</t>
  </si>
  <si>
    <t>Q50/h económico observado</t>
  </si>
  <si>
    <t>Encuentra24 Guatemala</t>
  </si>
  <si>
    <t>Baja-Media</t>
  </si>
  <si>
    <t>Referencia de cola baja del mercado.</t>
  </si>
  <si>
    <t>Tipo de cambio</t>
  </si>
  <si>
    <t>Q7.63/USD aprox.</t>
  </si>
  <si>
    <t>2026-05</t>
  </si>
  <si>
    <t>Banco de Guatemala / nota cambiaria</t>
  </si>
  <si>
    <t>Actualizar al ejecutar pauta real.</t>
  </si>
  <si>
    <t>Mix virtual/presencial</t>
  </si>
  <si>
    <t>80% / 20%</t>
  </si>
  <si>
    <t>Supuesto analista</t>
  </si>
  <si>
    <t>Supuesto</t>
  </si>
  <si>
    <t>Optimiza escalabilidad virtual.</t>
  </si>
  <si>
    <t>Comisión de pagos</t>
  </si>
  <si>
    <t>3%</t>
  </si>
  <si>
    <t>Reemplazar con proveedor real.</t>
  </si>
  <si>
    <t>Horas promedio por alumno</t>
  </si>
  <si>
    <t>6/mes</t>
  </si>
  <si>
    <t>Equivale a 1-2 horas por semana.</t>
  </si>
  <si>
    <t>8%</t>
  </si>
  <si>
    <t>Medir por cohortes.</t>
  </si>
  <si>
    <t>Check</t>
  </si>
  <si>
    <t>Actual</t>
  </si>
  <si>
    <t>Esperado</t>
  </si>
  <si>
    <t>Diferencia</t>
  </si>
  <si>
    <t>Tolerancia</t>
  </si>
  <si>
    <t>Estado</t>
  </si>
  <si>
    <t>Mix suma 100%</t>
  </si>
  <si>
    <t>Precio ponderado positivo</t>
  </si>
  <si>
    <t>&gt;0</t>
  </si>
  <si>
    <t>Contribución positiva</t>
  </si>
  <si>
    <t>Forecast mes 12 revenue</t>
  </si>
  <si>
    <t>EBITDA se vuelve positivo</t>
  </si>
  <si>
    <t>&gt;0 meses</t>
  </si>
  <si>
    <t>Flujo acumulado recupera inversión</t>
  </si>
  <si>
    <t>&gt;=0 meses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</si>
</sst>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Q&quot;#,##0;[Red]\(&quot;Q&quot;#,##0\);\-"/>
    <numFmt numFmtId="165" formatCode="0.0%;[Red]\(0.0%\);\-"/>
    <numFmt numFmtId="166" formatCode="0.0"/>
    <numFmt numFmtId="167" formatCode="&quot;Q&quot;#,##0.0;[Red]\(&quot;Q&quot;#,##0.0\);\-"/>
    <numFmt numFmtId="168" formatCode="#,##0;[Red]\(#,##0\);\-"/>
  </numFmts>
  <fonts count="7">
    <font>
      <sz val="11"/>
      <name val="Carlito"/>
    </font>
    <font>
      <b/>
      <sz val="10"/>
      <color rgb="FFFFFFFF"/>
      <name val="Aptos"/>
    </font>
    <font>
      <i/>
      <sz val="10"/>
      <color rgb="FF4F5B62"/>
      <name val="Aptos"/>
    </font>
    <font>
      <sz val="10"/>
      <name val="Aptos"/>
    </font>
    <font>
      <sz val="10"/>
      <color rgb="FF0000FF"/>
      <name val="Aptos"/>
    </font>
    <font>
      <sz val="10"/>
      <color rgb="FF000000"/>
      <name val="Aptos"/>
    </font>
    <font>
      <b/>
      <sz val="16"/>
      <color rgb="FF183B56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top"/>
    </xf>
    <xf numFmtId="0" fontId="3" fillId="0" borderId="0" xfId="0" applyFont="1" applyAlignment="1">
      <alignment vertical="top"/>
    </xf>
    <xf numFmtId="164" fontId="3" fillId="0" borderId="0" xfId="0" applyNumberFormat="1" applyFont="1" applyAlignment="1">
      <alignment vertical="top"/>
    </xf>
    <xf numFmtId="0" fontId="3" fillId="0" borderId="0" xfId="0" applyFont="1" applyAlignment="1">
      <alignment vertical="top" wrapText="1"/>
    </xf>
    <xf numFmtId="166" fontId="3" fillId="0" borderId="0" xfId="0" applyNumberFormat="1" applyFont="1" applyAlignment="1">
      <alignment vertical="top"/>
    </xf>
    <xf numFmtId="165" fontId="3" fillId="0" borderId="0" xfId="0" applyNumberFormat="1" applyFont="1" applyAlignment="1">
      <alignment vertical="top"/>
    </xf>
    <xf numFmtId="2" fontId="4" fillId="0" borderId="0" xfId="0" applyNumberFormat="1" applyFont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5" fontId="4" fillId="0" borderId="0" xfId="0" applyNumberFormat="1" applyFont="1" applyAlignment="1">
      <alignment vertical="top" wrapText="1"/>
    </xf>
    <xf numFmtId="166" fontId="4" fillId="0" borderId="0" xfId="0" applyNumberFormat="1" applyFont="1" applyAlignment="1">
      <alignment vertical="top" wrapText="1"/>
    </xf>
    <xf numFmtId="0" fontId="4" fillId="0" borderId="0" xfId="0" applyFont="1" applyAlignment="1">
      <alignment vertical="top" wrapText="1"/>
    </xf>
    <xf numFmtId="167" fontId="5" fillId="0" borderId="0" xfId="0" applyNumberFormat="1" applyFont="1" applyAlignment="1">
      <alignment vertical="top"/>
    </xf>
    <xf numFmtId="165" fontId="5" fillId="0" borderId="0" xfId="0" applyNumberFormat="1" applyFont="1" applyAlignment="1">
      <alignment vertical="top"/>
    </xf>
    <xf numFmtId="166" fontId="5" fillId="0" borderId="0" xfId="0" applyNumberFormat="1" applyFont="1" applyAlignment="1">
      <alignment vertical="top"/>
    </xf>
    <xf numFmtId="164" fontId="5" fillId="0" borderId="0" xfId="0" applyNumberFormat="1" applyFont="1" applyAlignment="1">
      <alignment vertical="top"/>
    </xf>
    <xf numFmtId="168" fontId="3" fillId="0" borderId="0" xfId="0" applyNumberFormat="1" applyFont="1" applyAlignment="1">
      <alignment vertical="top"/>
    </xf>
    <xf numFmtId="164" fontId="3" fillId="0" borderId="0" xfId="0" applyNumberFormat="1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2">
    <dxf>
      <font>
        <b/>
        <color rgb="FFD64545"/>
      </font>
    </dxf>
    <dxf>
      <font>
        <b/>
        <color rgb="FF219653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GT"/>
              <a:t>Ingresos y EBITDA mensual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Ingresos</c:v>
          </c:tx>
          <c:cat>
            <c:strRef>
              <c:f>Resumen!$G$5:$G$28</c:f>
              <c:strCache>
                <c:ptCount val="24"/>
                <c:pt idx="0">
                  <c:v>may 26</c:v>
                </c:pt>
                <c:pt idx="1">
                  <c:v>jun 26</c:v>
                </c:pt>
                <c:pt idx="2">
                  <c:v>jul 26</c:v>
                </c:pt>
                <c:pt idx="3">
                  <c:v>ago 26</c:v>
                </c:pt>
                <c:pt idx="4">
                  <c:v>sept 26</c:v>
                </c:pt>
                <c:pt idx="5">
                  <c:v>oct 26</c:v>
                </c:pt>
                <c:pt idx="6">
                  <c:v>nov 26</c:v>
                </c:pt>
                <c:pt idx="7">
                  <c:v>dic 26</c:v>
                </c:pt>
                <c:pt idx="8">
                  <c:v>ene 27</c:v>
                </c:pt>
                <c:pt idx="9">
                  <c:v>feb 27</c:v>
                </c:pt>
                <c:pt idx="10">
                  <c:v>mar 27</c:v>
                </c:pt>
                <c:pt idx="11">
                  <c:v>abr 27</c:v>
                </c:pt>
                <c:pt idx="12">
                  <c:v>may 27</c:v>
                </c:pt>
                <c:pt idx="13">
                  <c:v>jun 27</c:v>
                </c:pt>
                <c:pt idx="14">
                  <c:v>jul 27</c:v>
                </c:pt>
                <c:pt idx="15">
                  <c:v>ago 27</c:v>
                </c:pt>
                <c:pt idx="16">
                  <c:v>sept 27</c:v>
                </c:pt>
                <c:pt idx="17">
                  <c:v>oct 27</c:v>
                </c:pt>
                <c:pt idx="18">
                  <c:v>nov 27</c:v>
                </c:pt>
                <c:pt idx="19">
                  <c:v>dic 27</c:v>
                </c:pt>
                <c:pt idx="20">
                  <c:v>ene 28</c:v>
                </c:pt>
                <c:pt idx="21">
                  <c:v>feb 28</c:v>
                </c:pt>
                <c:pt idx="22">
                  <c:v>mar 28</c:v>
                </c:pt>
                <c:pt idx="23">
                  <c:v>abr 28</c:v>
                </c:pt>
              </c:strCache>
            </c:strRef>
          </c:cat>
          <c:val>
            <c:numRef>
              <c:f>Resumen!$H$5:$H$28</c:f>
              <c:numCache>
                <c:formatCode>"Q"#,##0;[Red]\("Q"#,##0\);\-</c:formatCode>
                <c:ptCount val="24"/>
                <c:pt idx="0">
                  <c:v>11280</c:v>
                </c:pt>
                <c:pt idx="1">
                  <c:v>22785.600000000002</c:v>
                </c:pt>
                <c:pt idx="2">
                  <c:v>34611.552000000003</c:v>
                </c:pt>
                <c:pt idx="3">
                  <c:v>46856.307840000009</c:v>
                </c:pt>
                <c:pt idx="4">
                  <c:v>59622.851212800015</c:v>
                </c:pt>
                <c:pt idx="5">
                  <c:v>73019.575915776019</c:v>
                </c:pt>
                <c:pt idx="6">
                  <c:v>87161.217922513955</c:v>
                </c:pt>
                <c:pt idx="7">
                  <c:v>102169.84937671287</c:v>
                </c:pt>
                <c:pt idx="8">
                  <c:v>118175.94320337586</c:v>
                </c:pt>
                <c:pt idx="9">
                  <c:v>135319.51770158581</c:v>
                </c:pt>
                <c:pt idx="10">
                  <c:v>153751.37123538696</c:v>
                </c:pt>
                <c:pt idx="11">
                  <c:v>173634.41798147684</c:v>
                </c:pt>
                <c:pt idx="12">
                  <c:v>195145.13663237164</c:v>
                </c:pt>
                <c:pt idx="13">
                  <c:v>218475.14500013614</c:v>
                </c:pt>
                <c:pt idx="14">
                  <c:v>243832.91462831487</c:v>
                </c:pt>
                <c:pt idx="15">
                  <c:v>271445.64080905833</c:v>
                </c:pt>
                <c:pt idx="16">
                  <c:v>301561.2848304431</c:v>
                </c:pt>
                <c:pt idx="17">
                  <c:v>334450.80685872812</c:v>
                </c:pt>
                <c:pt idx="18">
                  <c:v>370410.60960622231</c:v>
                </c:pt>
                <c:pt idx="19">
                  <c:v>409765.2148635363</c:v>
                </c:pt>
                <c:pt idx="20">
                  <c:v>452870.19710284629</c:v>
                </c:pt>
                <c:pt idx="21">
                  <c:v>500115.4007058508</c:v>
                </c:pt>
                <c:pt idx="22">
                  <c:v>551928.46995773807</c:v>
                </c:pt>
                <c:pt idx="23">
                  <c:v>608778.72380030993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E-5540-8F04-99F319EF10A1}"/>
            </c:ext>
          </c:extLst>
        </c:ser>
        <c:ser>
          <c:idx val="1"/>
          <c:order val="1"/>
          <c:tx>
            <c:v>EBITDA</c:v>
          </c:tx>
          <c:cat>
            <c:strRef>
              <c:f>Resumen!$G$5:$G$28</c:f>
              <c:strCache>
                <c:ptCount val="24"/>
                <c:pt idx="0">
                  <c:v>may 26</c:v>
                </c:pt>
                <c:pt idx="1">
                  <c:v>jun 26</c:v>
                </c:pt>
                <c:pt idx="2">
                  <c:v>jul 26</c:v>
                </c:pt>
                <c:pt idx="3">
                  <c:v>ago 26</c:v>
                </c:pt>
                <c:pt idx="4">
                  <c:v>sept 26</c:v>
                </c:pt>
                <c:pt idx="5">
                  <c:v>oct 26</c:v>
                </c:pt>
                <c:pt idx="6">
                  <c:v>nov 26</c:v>
                </c:pt>
                <c:pt idx="7">
                  <c:v>dic 26</c:v>
                </c:pt>
                <c:pt idx="8">
                  <c:v>ene 27</c:v>
                </c:pt>
                <c:pt idx="9">
                  <c:v>feb 27</c:v>
                </c:pt>
                <c:pt idx="10">
                  <c:v>mar 27</c:v>
                </c:pt>
                <c:pt idx="11">
                  <c:v>abr 27</c:v>
                </c:pt>
                <c:pt idx="12">
                  <c:v>may 27</c:v>
                </c:pt>
                <c:pt idx="13">
                  <c:v>jun 27</c:v>
                </c:pt>
                <c:pt idx="14">
                  <c:v>jul 27</c:v>
                </c:pt>
                <c:pt idx="15">
                  <c:v>ago 27</c:v>
                </c:pt>
                <c:pt idx="16">
                  <c:v>sept 27</c:v>
                </c:pt>
                <c:pt idx="17">
                  <c:v>oct 27</c:v>
                </c:pt>
                <c:pt idx="18">
                  <c:v>nov 27</c:v>
                </c:pt>
                <c:pt idx="19">
                  <c:v>dic 27</c:v>
                </c:pt>
                <c:pt idx="20">
                  <c:v>ene 28</c:v>
                </c:pt>
                <c:pt idx="21">
                  <c:v>feb 28</c:v>
                </c:pt>
                <c:pt idx="22">
                  <c:v>mar 28</c:v>
                </c:pt>
                <c:pt idx="23">
                  <c:v>abr 28</c:v>
                </c:pt>
              </c:strCache>
            </c:strRef>
          </c:cat>
          <c:val>
            <c:numRef>
              <c:f>Resumen!$I$5:$I$28</c:f>
              <c:numCache>
                <c:formatCode>"Q"#,##0;[Red]\("Q"#,##0\);\-</c:formatCode>
                <c:ptCount val="24"/>
                <c:pt idx="0">
                  <c:v>-6046.4</c:v>
                </c:pt>
                <c:pt idx="1">
                  <c:v>-3184.6879999999983</c:v>
                </c:pt>
                <c:pt idx="2">
                  <c:v>-243.29695999999603</c:v>
                </c:pt>
                <c:pt idx="3">
                  <c:v>2802.2603968000021</c:v>
                </c:pt>
                <c:pt idx="4">
                  <c:v>5977.5985250560043</c:v>
                </c:pt>
                <c:pt idx="5">
                  <c:v>9309.677499051526</c:v>
                </c:pt>
                <c:pt idx="6">
                  <c:v>12460.794840727409</c:v>
                </c:pt>
                <c:pt idx="7">
                  <c:v>16193.792749229233</c:v>
                </c:pt>
                <c:pt idx="8">
                  <c:v>20174.882894626899</c:v>
                </c:pt>
                <c:pt idx="9">
                  <c:v>24438.891104926344</c:v>
                </c:pt>
                <c:pt idx="10">
                  <c:v>29023.324462588818</c:v>
                </c:pt>
                <c:pt idx="11">
                  <c:v>33968.703536243935</c:v>
                </c:pt>
                <c:pt idx="12">
                  <c:v>38908.73390707287</c:v>
                </c:pt>
                <c:pt idx="13">
                  <c:v>44711.453009608347</c:v>
                </c:pt>
                <c:pt idx="14">
                  <c:v>51018.523795851084</c:v>
                </c:pt>
                <c:pt idx="15">
                  <c:v>57886.455052295591</c:v>
                </c:pt>
                <c:pt idx="16">
                  <c:v>65376.920554635755</c:v>
                </c:pt>
                <c:pt idx="17">
                  <c:v>73557.314437841123</c:v>
                </c:pt>
                <c:pt idx="18">
                  <c:v>82041.947537547647</c:v>
                </c:pt>
                <c:pt idx="19">
                  <c:v>91830.358930271061</c:v>
                </c:pt>
                <c:pt idx="20">
                  <c:v>102551.57685319734</c:v>
                </c:pt>
                <c:pt idx="21">
                  <c:v>114302.56472807231</c:v>
                </c:pt>
                <c:pt idx="22">
                  <c:v>127189.6876973183</c:v>
                </c:pt>
                <c:pt idx="23">
                  <c:v>141329.67636582177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9E-5540-8F04-99F319EF1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&quot;Q&quot;#,##0;[Red]\(&quot;Q&quot;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GT"/>
              <a:t>Recuperación de inversión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Flujo acumulado</c:v>
          </c:tx>
          <c:cat>
            <c:strRef>
              <c:f>Resumen!$A$15:$A$38</c:f>
              <c:strCache>
                <c:ptCount val="24"/>
                <c:pt idx="0">
                  <c:v>may 26</c:v>
                </c:pt>
                <c:pt idx="1">
                  <c:v>jun 26</c:v>
                </c:pt>
                <c:pt idx="2">
                  <c:v>jul 26</c:v>
                </c:pt>
                <c:pt idx="3">
                  <c:v>ago 26</c:v>
                </c:pt>
                <c:pt idx="4">
                  <c:v>sept 26</c:v>
                </c:pt>
                <c:pt idx="5">
                  <c:v>oct 26</c:v>
                </c:pt>
                <c:pt idx="6">
                  <c:v>nov 26</c:v>
                </c:pt>
                <c:pt idx="7">
                  <c:v>dic 26</c:v>
                </c:pt>
                <c:pt idx="8">
                  <c:v>ene 27</c:v>
                </c:pt>
                <c:pt idx="9">
                  <c:v>feb 27</c:v>
                </c:pt>
                <c:pt idx="10">
                  <c:v>mar 27</c:v>
                </c:pt>
                <c:pt idx="11">
                  <c:v>abr 27</c:v>
                </c:pt>
                <c:pt idx="12">
                  <c:v>may 27</c:v>
                </c:pt>
                <c:pt idx="13">
                  <c:v>jun 27</c:v>
                </c:pt>
                <c:pt idx="14">
                  <c:v>jul 27</c:v>
                </c:pt>
                <c:pt idx="15">
                  <c:v>ago 27</c:v>
                </c:pt>
                <c:pt idx="16">
                  <c:v>sept 27</c:v>
                </c:pt>
                <c:pt idx="17">
                  <c:v>oct 27</c:v>
                </c:pt>
                <c:pt idx="18">
                  <c:v>nov 27</c:v>
                </c:pt>
                <c:pt idx="19">
                  <c:v>dic 27</c:v>
                </c:pt>
                <c:pt idx="20">
                  <c:v>ene 28</c:v>
                </c:pt>
                <c:pt idx="21">
                  <c:v>feb 28</c:v>
                </c:pt>
                <c:pt idx="22">
                  <c:v>mar 28</c:v>
                </c:pt>
                <c:pt idx="23">
                  <c:v>abr 28</c:v>
                </c:pt>
              </c:strCache>
            </c:strRef>
          </c:cat>
          <c:val>
            <c:numRef>
              <c:f>Resumen!$B$15:$B$38</c:f>
              <c:numCache>
                <c:formatCode>"Q"#,##0;[Red]\("Q"#,##0\);\-</c:formatCode>
                <c:ptCount val="24"/>
                <c:pt idx="0">
                  <c:v>-6546.4</c:v>
                </c:pt>
                <c:pt idx="1">
                  <c:v>-9731.0879999999979</c:v>
                </c:pt>
                <c:pt idx="2">
                  <c:v>-9974.384959999994</c:v>
                </c:pt>
                <c:pt idx="3">
                  <c:v>-7172.1245631999918</c:v>
                </c:pt>
                <c:pt idx="4">
                  <c:v>-1194.5260381439875</c:v>
                </c:pt>
                <c:pt idx="5">
                  <c:v>8115.1514609075384</c:v>
                </c:pt>
                <c:pt idx="6">
                  <c:v>20575.946301634947</c:v>
                </c:pt>
                <c:pt idx="7">
                  <c:v>36769.739050864184</c:v>
                </c:pt>
                <c:pt idx="8">
                  <c:v>56944.621945491082</c:v>
                </c:pt>
                <c:pt idx="9">
                  <c:v>81383.51305041743</c:v>
                </c:pt>
                <c:pt idx="10">
                  <c:v>110406.83751300625</c:v>
                </c:pt>
                <c:pt idx="11">
                  <c:v>144375.54104925017</c:v>
                </c:pt>
                <c:pt idx="12">
                  <c:v>183284.27495632303</c:v>
                </c:pt>
                <c:pt idx="13">
                  <c:v>227995.72796593138</c:v>
                </c:pt>
                <c:pt idx="14">
                  <c:v>279014.25176178245</c:v>
                </c:pt>
                <c:pt idx="15">
                  <c:v>336900.70681407803</c:v>
                </c:pt>
                <c:pt idx="16">
                  <c:v>402277.62736871379</c:v>
                </c:pt>
                <c:pt idx="17">
                  <c:v>475834.94180655491</c:v>
                </c:pt>
                <c:pt idx="18">
                  <c:v>557876.88934410259</c:v>
                </c:pt>
                <c:pt idx="19">
                  <c:v>649707.24827437359</c:v>
                </c:pt>
                <c:pt idx="20">
                  <c:v>752258.82512757089</c:v>
                </c:pt>
                <c:pt idx="21">
                  <c:v>866561.38985564315</c:v>
                </c:pt>
                <c:pt idx="22">
                  <c:v>993751.07755296142</c:v>
                </c:pt>
                <c:pt idx="23">
                  <c:v>1135080.7539187833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38-1649-9400-7DECDEFF2A18}"/>
            </c:ext>
          </c:extLst>
        </c:ser>
        <c:ser>
          <c:idx val="1"/>
          <c:order val="1"/>
          <c:tx>
            <c:v>Break-even</c:v>
          </c:tx>
          <c:cat>
            <c:strRef>
              <c:f>Resumen!$A$15:$A$38</c:f>
              <c:strCache>
                <c:ptCount val="24"/>
                <c:pt idx="0">
                  <c:v>may 26</c:v>
                </c:pt>
                <c:pt idx="1">
                  <c:v>jun 26</c:v>
                </c:pt>
                <c:pt idx="2">
                  <c:v>jul 26</c:v>
                </c:pt>
                <c:pt idx="3">
                  <c:v>ago 26</c:v>
                </c:pt>
                <c:pt idx="4">
                  <c:v>sept 26</c:v>
                </c:pt>
                <c:pt idx="5">
                  <c:v>oct 26</c:v>
                </c:pt>
                <c:pt idx="6">
                  <c:v>nov 26</c:v>
                </c:pt>
                <c:pt idx="7">
                  <c:v>dic 26</c:v>
                </c:pt>
                <c:pt idx="8">
                  <c:v>ene 27</c:v>
                </c:pt>
                <c:pt idx="9">
                  <c:v>feb 27</c:v>
                </c:pt>
                <c:pt idx="10">
                  <c:v>mar 27</c:v>
                </c:pt>
                <c:pt idx="11">
                  <c:v>abr 27</c:v>
                </c:pt>
                <c:pt idx="12">
                  <c:v>may 27</c:v>
                </c:pt>
                <c:pt idx="13">
                  <c:v>jun 27</c:v>
                </c:pt>
                <c:pt idx="14">
                  <c:v>jul 27</c:v>
                </c:pt>
                <c:pt idx="15">
                  <c:v>ago 27</c:v>
                </c:pt>
                <c:pt idx="16">
                  <c:v>sept 27</c:v>
                </c:pt>
                <c:pt idx="17">
                  <c:v>oct 27</c:v>
                </c:pt>
                <c:pt idx="18">
                  <c:v>nov 27</c:v>
                </c:pt>
                <c:pt idx="19">
                  <c:v>dic 27</c:v>
                </c:pt>
                <c:pt idx="20">
                  <c:v>ene 28</c:v>
                </c:pt>
                <c:pt idx="21">
                  <c:v>feb 28</c:v>
                </c:pt>
                <c:pt idx="22">
                  <c:v>mar 28</c:v>
                </c:pt>
                <c:pt idx="23">
                  <c:v>abr 28</c:v>
                </c:pt>
              </c:strCache>
            </c:strRef>
          </c:cat>
          <c:val>
            <c:numRef>
              <c:f>Resumen!$C$15:$C$38</c:f>
              <c:numCache>
                <c:formatCode>"Q"#,##0;[Red]\("Q"#,##0\);\-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38-1649-9400-7DECDEFF2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&quot;Q&quot;#,##0;[Red]\(&quot;Q&quot;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GT"/>
              <a:t>Estructura de costos en mes 12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Monto mensual</c:v>
          </c:tx>
          <c:invertIfNegative val="1"/>
          <c:cat>
            <c:strRef>
              <c:f>Resumen!$A$42:$A$45</c:f>
              <c:strCache>
                <c:ptCount val="4"/>
                <c:pt idx="0">
                  <c:v>Pago tutores</c:v>
                </c:pt>
                <c:pt idx="1">
                  <c:v>Pauta</c:v>
                </c:pt>
                <c:pt idx="2">
                  <c:v>Otros fijos</c:v>
                </c:pt>
                <c:pt idx="3">
                  <c:v>Fees + materiales</c:v>
                </c:pt>
              </c:strCache>
            </c:strRef>
          </c:cat>
          <c:val>
            <c:numRef>
              <c:f>Resumen!$B$42:$B$45</c:f>
              <c:numCache>
                <c:formatCode>"Q"#,##0;[Red]\("Q"#,##0\);\-</c:formatCode>
                <c:ptCount val="4"/>
                <c:pt idx="0">
                  <c:v>121544.09258703378</c:v>
                </c:pt>
                <c:pt idx="1">
                  <c:v>3418.2400000000002</c:v>
                </c:pt>
                <c:pt idx="2">
                  <c:v>5800</c:v>
                </c:pt>
                <c:pt idx="3">
                  <c:v>8903.3818581991309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4-7345-8020-EE89C8AFE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&quot;Q&quot;#,##0;[Red]\(&quot;Q&quot;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GT"/>
              <a:t>EBITDA M12 por escenario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EBITDA M12</c:v>
          </c:tx>
          <c:invertIfNegative val="1"/>
          <c:cat>
            <c:strRef>
              <c:f>Resumen!$J$32:$J$34</c:f>
              <c:strCache>
                <c:ptCount val="3"/>
                <c:pt idx="0">
                  <c:v>Conservador</c:v>
                </c:pt>
                <c:pt idx="1">
                  <c:v>Base</c:v>
                </c:pt>
                <c:pt idx="2">
                  <c:v>Acelerado</c:v>
                </c:pt>
              </c:strCache>
            </c:strRef>
          </c:cat>
          <c:val>
            <c:numRef>
              <c:f>Resumen!$K$32:$K$34</c:f>
              <c:numCache>
                <c:formatCode>"Q"#,##0;[Red]\("Q"#,##0\);\-</c:formatCode>
                <c:ptCount val="3"/>
                <c:pt idx="0">
                  <c:v>2503.7439175721356</c:v>
                </c:pt>
                <c:pt idx="1">
                  <c:v>33968.703536243935</c:v>
                </c:pt>
                <c:pt idx="2">
                  <c:v>127188.56544741307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92-964C-A8F0-C7FE519E7A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&quot;Q&quot;#,##0;[Red]\(&quot;Q&quot;#,##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13</xdr:row>
      <xdr:rowOff>0</xdr:rowOff>
    </xdr:from>
    <xdr:to>
      <xdr:col>14</xdr:col>
      <xdr:colOff>0</xdr:colOff>
      <xdr:row>28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30</xdr:row>
      <xdr:rowOff>0</xdr:rowOff>
    </xdr:from>
    <xdr:to>
      <xdr:col>9</xdr:col>
      <xdr:colOff>0</xdr:colOff>
      <xdr:row>45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35</xdr:row>
      <xdr:rowOff>0</xdr:rowOff>
    </xdr:from>
    <xdr:to>
      <xdr:col>14</xdr:col>
      <xdr:colOff>0</xdr:colOff>
      <xdr:row>45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showGridLines="0" tabSelected="1" workbookViewId="0">
      <selection sqref="A1:N1"/>
    </sheetView>
  </sheetViews>
  <sheetFormatPr baseColWidth="10" defaultColWidth="8.83203125" defaultRowHeight="14"/>
  <cols>
    <col min="1" max="1" width="22.6640625" customWidth="1"/>
    <col min="2" max="2" width="16.5" customWidth="1"/>
    <col min="3" max="3" width="4.33203125" customWidth="1"/>
    <col min="4" max="4" width="16.5" customWidth="1"/>
    <col min="5" max="5" width="32.5" customWidth="1"/>
    <col min="6" max="6" width="4.33203125" customWidth="1"/>
    <col min="7" max="11" width="12.83203125" customWidth="1"/>
    <col min="12" max="12" width="17.83203125" customWidth="1"/>
    <col min="13" max="14" width="12.83203125" customWidth="1"/>
  </cols>
  <sheetData>
    <row r="1" spans="1:14" ht="25.5" customHeight="1">
      <c r="A1" s="19" t="s">
        <v>0</v>
      </c>
      <c r="B1" s="19" t="s">
        <v>0</v>
      </c>
      <c r="C1" s="19" t="s">
        <v>0</v>
      </c>
      <c r="D1" s="19" t="s">
        <v>0</v>
      </c>
      <c r="E1" s="19" t="s">
        <v>0</v>
      </c>
      <c r="F1" s="19" t="s">
        <v>0</v>
      </c>
      <c r="G1" s="19" t="s">
        <v>0</v>
      </c>
      <c r="H1" s="19" t="s">
        <v>0</v>
      </c>
      <c r="I1" s="19" t="s">
        <v>0</v>
      </c>
      <c r="J1" s="19" t="s">
        <v>0</v>
      </c>
      <c r="K1" s="19" t="s">
        <v>0</v>
      </c>
      <c r="L1" s="19" t="s">
        <v>0</v>
      </c>
      <c r="M1" s="19" t="s">
        <v>0</v>
      </c>
      <c r="N1" s="19" t="s">
        <v>0</v>
      </c>
    </row>
    <row r="2" spans="1:14" ht="18" customHeight="1">
      <c r="A2" s="20" t="s">
        <v>1</v>
      </c>
      <c r="B2" s="20" t="s">
        <v>1</v>
      </c>
      <c r="C2" s="20" t="s">
        <v>1</v>
      </c>
      <c r="D2" s="20" t="s">
        <v>1</v>
      </c>
      <c r="E2" s="20" t="s">
        <v>1</v>
      </c>
      <c r="F2" s="20" t="s">
        <v>1</v>
      </c>
      <c r="G2" s="20" t="s">
        <v>1</v>
      </c>
      <c r="H2" s="20" t="s">
        <v>1</v>
      </c>
      <c r="I2" s="20" t="s">
        <v>1</v>
      </c>
      <c r="J2" s="20" t="s">
        <v>1</v>
      </c>
      <c r="K2" s="20" t="s">
        <v>1</v>
      </c>
      <c r="L2" s="20" t="s">
        <v>1</v>
      </c>
      <c r="M2" s="20" t="s">
        <v>1</v>
      </c>
      <c r="N2" s="20" t="s">
        <v>1</v>
      </c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A4" s="1" t="s">
        <v>2</v>
      </c>
      <c r="B4" s="1" t="s">
        <v>3</v>
      </c>
      <c r="C4" s="2"/>
      <c r="D4" s="1" t="s">
        <v>4</v>
      </c>
      <c r="E4" s="1" t="s">
        <v>5</v>
      </c>
      <c r="F4" s="2"/>
      <c r="G4" s="1" t="s">
        <v>6</v>
      </c>
      <c r="H4" s="1" t="s">
        <v>7</v>
      </c>
      <c r="I4" s="1" t="s">
        <v>8</v>
      </c>
      <c r="J4" s="2"/>
      <c r="K4" s="2"/>
      <c r="L4" s="2"/>
      <c r="M4" s="2"/>
      <c r="N4" s="2"/>
    </row>
    <row r="5" spans="1:14" ht="60">
      <c r="A5" s="2" t="s">
        <v>9</v>
      </c>
      <c r="B5" s="3">
        <f>Unit_Economics!C5</f>
        <v>235</v>
      </c>
      <c r="C5" s="2"/>
      <c r="D5" s="4" t="s">
        <v>10</v>
      </c>
      <c r="E5" s="4" t="s">
        <v>11</v>
      </c>
      <c r="F5" s="2"/>
      <c r="G5" s="2" t="str">
        <f>Forecast_Base!B$4</f>
        <v>may 26</v>
      </c>
      <c r="H5" s="3">
        <f>Forecast_Base!B$9</f>
        <v>11280</v>
      </c>
      <c r="I5" s="3">
        <f>Forecast_Base!B$17</f>
        <v>-6046.4</v>
      </c>
      <c r="J5" s="2"/>
      <c r="K5" s="2"/>
      <c r="L5" s="2"/>
      <c r="M5" s="2"/>
      <c r="N5" s="2"/>
    </row>
    <row r="6" spans="1:14" ht="60">
      <c r="A6" s="2" t="s">
        <v>12</v>
      </c>
      <c r="B6" s="3">
        <f>Unit_Economics!C9</f>
        <v>58.45</v>
      </c>
      <c r="C6" s="2"/>
      <c r="D6" s="4" t="s">
        <v>13</v>
      </c>
      <c r="E6" s="4" t="s">
        <v>14</v>
      </c>
      <c r="F6" s="2"/>
      <c r="G6" s="2" t="str">
        <f>Forecast_Base!C$4</f>
        <v>jun 26</v>
      </c>
      <c r="H6" s="3">
        <f>Forecast_Base!C$9</f>
        <v>22785.600000000002</v>
      </c>
      <c r="I6" s="3">
        <f>Forecast_Base!C$17</f>
        <v>-3184.6879999999983</v>
      </c>
      <c r="J6" s="2"/>
      <c r="K6" s="2"/>
      <c r="L6" s="2"/>
      <c r="M6" s="2"/>
      <c r="N6" s="2"/>
    </row>
    <row r="7" spans="1:14" ht="45">
      <c r="A7" s="2" t="s">
        <v>15</v>
      </c>
      <c r="B7" s="5">
        <f>Unit_Economics!C16</f>
        <v>25.240946678072422</v>
      </c>
      <c r="C7" s="2"/>
      <c r="D7" s="4" t="s">
        <v>16</v>
      </c>
      <c r="E7" s="4" t="s">
        <v>17</v>
      </c>
      <c r="F7" s="2"/>
      <c r="G7" s="2" t="str">
        <f>Forecast_Base!D$4</f>
        <v>jul 26</v>
      </c>
      <c r="H7" s="3">
        <f>Forecast_Base!D$9</f>
        <v>34611.552000000003</v>
      </c>
      <c r="I7" s="3">
        <f>Forecast_Base!D$17</f>
        <v>-243.29695999999603</v>
      </c>
      <c r="J7" s="2"/>
      <c r="K7" s="2"/>
      <c r="L7" s="2"/>
      <c r="M7" s="2"/>
      <c r="N7" s="2"/>
    </row>
    <row r="8" spans="1:14" ht="60">
      <c r="A8" s="2" t="s">
        <v>18</v>
      </c>
      <c r="B8" s="2" t="e">
        <f>INDEX(Forecast_Base!$B$4:$Y$4,1,MATCH(TRUE,Forecast_Base!$B$17:$Y$17&gt;0,0))</f>
        <v>#N/A</v>
      </c>
      <c r="C8" s="2"/>
      <c r="D8" s="4" t="s">
        <v>19</v>
      </c>
      <c r="E8" s="4" t="s">
        <v>20</v>
      </c>
      <c r="F8" s="2"/>
      <c r="G8" s="2" t="str">
        <f>Forecast_Base!E$4</f>
        <v>ago 26</v>
      </c>
      <c r="H8" s="3">
        <f>Forecast_Base!E$9</f>
        <v>46856.307840000009</v>
      </c>
      <c r="I8" s="3">
        <f>Forecast_Base!E$17</f>
        <v>2802.2603968000021</v>
      </c>
      <c r="J8" s="2"/>
      <c r="K8" s="2"/>
      <c r="L8" s="2"/>
      <c r="M8" s="2"/>
      <c r="N8" s="2"/>
    </row>
    <row r="9" spans="1:14" ht="45">
      <c r="A9" s="2" t="s">
        <v>21</v>
      </c>
      <c r="B9" s="2" t="str">
        <f>IFERROR(INDEX(Forecast_Base!$B$4:$Y$4,1,MATCH(TRUE,Forecast_Base!$B$19:$Y$19&gt;0,0)),"No en 24m")</f>
        <v>No en 24m</v>
      </c>
      <c r="C9" s="2"/>
      <c r="D9" s="4" t="s">
        <v>22</v>
      </c>
      <c r="E9" s="4" t="s">
        <v>23</v>
      </c>
      <c r="F9" s="2"/>
      <c r="G9" s="2" t="str">
        <f>Forecast_Base!F$4</f>
        <v>sept 26</v>
      </c>
      <c r="H9" s="3">
        <f>Forecast_Base!F$9</f>
        <v>59622.851212800015</v>
      </c>
      <c r="I9" s="3">
        <f>Forecast_Base!F$17</f>
        <v>5977.5985250560043</v>
      </c>
      <c r="J9" s="2"/>
      <c r="K9" s="2"/>
      <c r="L9" s="2"/>
      <c r="M9" s="2"/>
      <c r="N9" s="2"/>
    </row>
    <row r="10" spans="1:14" ht="60">
      <c r="A10" s="2" t="s">
        <v>24</v>
      </c>
      <c r="B10" s="3">
        <f>Forecast_Base!M9</f>
        <v>173634.41798147684</v>
      </c>
      <c r="C10" s="2"/>
      <c r="D10" s="4" t="s">
        <v>25</v>
      </c>
      <c r="E10" s="4" t="s">
        <v>26</v>
      </c>
      <c r="F10" s="2"/>
      <c r="G10" s="2" t="str">
        <f>Forecast_Base!G$4</f>
        <v>oct 26</v>
      </c>
      <c r="H10" s="3">
        <f>Forecast_Base!G$9</f>
        <v>73019.575915776019</v>
      </c>
      <c r="I10" s="3">
        <f>Forecast_Base!G$17</f>
        <v>9309.677499051526</v>
      </c>
      <c r="J10" s="2"/>
      <c r="K10" s="2"/>
      <c r="L10" s="2"/>
      <c r="M10" s="2"/>
      <c r="N10" s="2"/>
    </row>
    <row r="11" spans="1:14" ht="45">
      <c r="A11" s="2" t="s">
        <v>27</v>
      </c>
      <c r="B11" s="3">
        <f>Forecast_Base!M17</f>
        <v>33968.703536243935</v>
      </c>
      <c r="C11" s="2"/>
      <c r="D11" s="4" t="s">
        <v>28</v>
      </c>
      <c r="E11" s="4" t="s">
        <v>29</v>
      </c>
      <c r="F11" s="2"/>
      <c r="G11" s="2" t="str">
        <f>Forecast_Base!H$4</f>
        <v>nov 26</v>
      </c>
      <c r="H11" s="3">
        <f>Forecast_Base!H$9</f>
        <v>87161.217922513955</v>
      </c>
      <c r="I11" s="3">
        <f>Forecast_Base!H$17</f>
        <v>12460.794840727409</v>
      </c>
      <c r="J11" s="2"/>
      <c r="K11" s="2"/>
      <c r="L11" s="2"/>
      <c r="M11" s="2"/>
      <c r="N11" s="2"/>
    </row>
    <row r="12" spans="1:14">
      <c r="A12" s="2"/>
      <c r="B12" s="2"/>
      <c r="C12" s="2"/>
      <c r="D12" s="2"/>
      <c r="E12" s="2"/>
      <c r="F12" s="2"/>
      <c r="G12" s="2" t="str">
        <f>Forecast_Base!I$4</f>
        <v>dic 26</v>
      </c>
      <c r="H12" s="3">
        <f>Forecast_Base!I$9</f>
        <v>102169.84937671287</v>
      </c>
      <c r="I12" s="3">
        <f>Forecast_Base!I$17</f>
        <v>16193.792749229233</v>
      </c>
      <c r="J12" s="2"/>
      <c r="K12" s="2"/>
      <c r="L12" s="2"/>
      <c r="M12" s="2"/>
      <c r="N12" s="2"/>
    </row>
    <row r="13" spans="1:14">
      <c r="A13" s="2"/>
      <c r="B13" s="2"/>
      <c r="C13" s="2"/>
      <c r="D13" s="2"/>
      <c r="E13" s="2"/>
      <c r="F13" s="2"/>
      <c r="G13" s="2" t="str">
        <f>Forecast_Base!J$4</f>
        <v>ene 27</v>
      </c>
      <c r="H13" s="3">
        <f>Forecast_Base!J$9</f>
        <v>118175.94320337586</v>
      </c>
      <c r="I13" s="3">
        <f>Forecast_Base!J$17</f>
        <v>20174.882894626899</v>
      </c>
      <c r="J13" s="2"/>
      <c r="K13" s="2"/>
      <c r="L13" s="2"/>
      <c r="M13" s="2"/>
      <c r="N13" s="2"/>
    </row>
    <row r="14" spans="1:14">
      <c r="A14" s="1" t="s">
        <v>6</v>
      </c>
      <c r="B14" s="1" t="s">
        <v>30</v>
      </c>
      <c r="C14" s="1" t="s">
        <v>31</v>
      </c>
      <c r="D14" s="2"/>
      <c r="E14" s="2"/>
      <c r="F14" s="2"/>
      <c r="G14" s="2" t="str">
        <f>Forecast_Base!K$4</f>
        <v>feb 27</v>
      </c>
      <c r="H14" s="3">
        <f>Forecast_Base!K$9</f>
        <v>135319.51770158581</v>
      </c>
      <c r="I14" s="3">
        <f>Forecast_Base!K$17</f>
        <v>24438.891104926344</v>
      </c>
      <c r="J14" s="2"/>
      <c r="K14" s="2"/>
      <c r="L14" s="2"/>
      <c r="M14" s="2"/>
      <c r="N14" s="2"/>
    </row>
    <row r="15" spans="1:14">
      <c r="A15" s="2" t="str">
        <f>Forecast_Base!B$4</f>
        <v>may 26</v>
      </c>
      <c r="B15" s="3">
        <f>Forecast_Base!B$19</f>
        <v>-6546.4</v>
      </c>
      <c r="C15" s="3">
        <f>0</f>
        <v>0</v>
      </c>
      <c r="D15" s="2"/>
      <c r="E15" s="2"/>
      <c r="F15" s="2"/>
      <c r="G15" s="2" t="str">
        <f>Forecast_Base!L$4</f>
        <v>mar 27</v>
      </c>
      <c r="H15" s="3">
        <f>Forecast_Base!L$9</f>
        <v>153751.37123538696</v>
      </c>
      <c r="I15" s="3">
        <f>Forecast_Base!L$17</f>
        <v>29023.324462588818</v>
      </c>
      <c r="J15" s="2"/>
      <c r="K15" s="2"/>
      <c r="L15" s="2"/>
      <c r="M15" s="2"/>
      <c r="N15" s="2"/>
    </row>
    <row r="16" spans="1:14">
      <c r="A16" s="2" t="str">
        <f>Forecast_Base!C$4</f>
        <v>jun 26</v>
      </c>
      <c r="B16" s="3">
        <f>Forecast_Base!C$19</f>
        <v>-9731.0879999999979</v>
      </c>
      <c r="C16" s="3">
        <f>0</f>
        <v>0</v>
      </c>
      <c r="D16" s="2"/>
      <c r="E16" s="2"/>
      <c r="F16" s="2"/>
      <c r="G16" s="2" t="str">
        <f>Forecast_Base!M$4</f>
        <v>abr 27</v>
      </c>
      <c r="H16" s="3">
        <f>Forecast_Base!M$9</f>
        <v>173634.41798147684</v>
      </c>
      <c r="I16" s="3">
        <f>Forecast_Base!M$17</f>
        <v>33968.703536243935</v>
      </c>
      <c r="J16" s="2"/>
      <c r="K16" s="2"/>
      <c r="L16" s="2"/>
      <c r="M16" s="2"/>
      <c r="N16" s="2"/>
    </row>
    <row r="17" spans="1:14">
      <c r="A17" s="2" t="str">
        <f>Forecast_Base!D$4</f>
        <v>jul 26</v>
      </c>
      <c r="B17" s="3">
        <f>Forecast_Base!D$19</f>
        <v>-9974.384959999994</v>
      </c>
      <c r="C17" s="3">
        <f>0</f>
        <v>0</v>
      </c>
      <c r="D17" s="2"/>
      <c r="E17" s="2"/>
      <c r="F17" s="2"/>
      <c r="G17" s="2" t="str">
        <f>Forecast_Base!N$4</f>
        <v>may 27</v>
      </c>
      <c r="H17" s="3">
        <f>Forecast_Base!N$9</f>
        <v>195145.13663237164</v>
      </c>
      <c r="I17" s="3">
        <f>Forecast_Base!N$17</f>
        <v>38908.73390707287</v>
      </c>
      <c r="J17" s="2"/>
      <c r="K17" s="2"/>
      <c r="L17" s="2"/>
      <c r="M17" s="2"/>
      <c r="N17" s="2"/>
    </row>
    <row r="18" spans="1:14">
      <c r="A18" s="2" t="str">
        <f>Forecast_Base!E$4</f>
        <v>ago 26</v>
      </c>
      <c r="B18" s="3">
        <f>Forecast_Base!E$19</f>
        <v>-7172.1245631999918</v>
      </c>
      <c r="C18" s="3">
        <f>0</f>
        <v>0</v>
      </c>
      <c r="D18" s="2"/>
      <c r="E18" s="2"/>
      <c r="F18" s="2"/>
      <c r="G18" s="2" t="str">
        <f>Forecast_Base!O$4</f>
        <v>jun 27</v>
      </c>
      <c r="H18" s="3">
        <f>Forecast_Base!O$9</f>
        <v>218475.14500013614</v>
      </c>
      <c r="I18" s="3">
        <f>Forecast_Base!O$17</f>
        <v>44711.453009608347</v>
      </c>
      <c r="J18" s="2"/>
      <c r="K18" s="2"/>
      <c r="L18" s="2"/>
      <c r="M18" s="2"/>
      <c r="N18" s="2"/>
    </row>
    <row r="19" spans="1:14">
      <c r="A19" s="2" t="str">
        <f>Forecast_Base!F$4</f>
        <v>sept 26</v>
      </c>
      <c r="B19" s="3">
        <f>Forecast_Base!F$19</f>
        <v>-1194.5260381439875</v>
      </c>
      <c r="C19" s="3">
        <f>0</f>
        <v>0</v>
      </c>
      <c r="D19" s="2"/>
      <c r="E19" s="2"/>
      <c r="F19" s="2"/>
      <c r="G19" s="2" t="str">
        <f>Forecast_Base!P$4</f>
        <v>jul 27</v>
      </c>
      <c r="H19" s="3">
        <f>Forecast_Base!P$9</f>
        <v>243832.91462831487</v>
      </c>
      <c r="I19" s="3">
        <f>Forecast_Base!P$17</f>
        <v>51018.523795851084</v>
      </c>
      <c r="J19" s="2"/>
      <c r="K19" s="2"/>
      <c r="L19" s="2"/>
      <c r="M19" s="2"/>
      <c r="N19" s="2"/>
    </row>
    <row r="20" spans="1:14">
      <c r="A20" s="2" t="str">
        <f>Forecast_Base!G$4</f>
        <v>oct 26</v>
      </c>
      <c r="B20" s="3">
        <f>Forecast_Base!G$19</f>
        <v>8115.1514609075384</v>
      </c>
      <c r="C20" s="3">
        <f>0</f>
        <v>0</v>
      </c>
      <c r="D20" s="2"/>
      <c r="E20" s="2"/>
      <c r="F20" s="2"/>
      <c r="G20" s="2" t="str">
        <f>Forecast_Base!Q$4</f>
        <v>ago 27</v>
      </c>
      <c r="H20" s="3">
        <f>Forecast_Base!Q$9</f>
        <v>271445.64080905833</v>
      </c>
      <c r="I20" s="3">
        <f>Forecast_Base!Q$17</f>
        <v>57886.455052295591</v>
      </c>
      <c r="J20" s="2"/>
      <c r="K20" s="2"/>
      <c r="L20" s="2"/>
      <c r="M20" s="2"/>
      <c r="N20" s="2"/>
    </row>
    <row r="21" spans="1:14">
      <c r="A21" s="2" t="str">
        <f>Forecast_Base!H$4</f>
        <v>nov 26</v>
      </c>
      <c r="B21" s="3">
        <f>Forecast_Base!H$19</f>
        <v>20575.946301634947</v>
      </c>
      <c r="C21" s="3">
        <f>0</f>
        <v>0</v>
      </c>
      <c r="D21" s="2"/>
      <c r="E21" s="2"/>
      <c r="F21" s="2"/>
      <c r="G21" s="2" t="str">
        <f>Forecast_Base!R$4</f>
        <v>sept 27</v>
      </c>
      <c r="H21" s="3">
        <f>Forecast_Base!R$9</f>
        <v>301561.2848304431</v>
      </c>
      <c r="I21" s="3">
        <f>Forecast_Base!R$17</f>
        <v>65376.920554635755</v>
      </c>
      <c r="J21" s="2"/>
      <c r="K21" s="2"/>
      <c r="L21" s="2"/>
      <c r="M21" s="2"/>
      <c r="N21" s="2"/>
    </row>
    <row r="22" spans="1:14">
      <c r="A22" s="2" t="str">
        <f>Forecast_Base!I$4</f>
        <v>dic 26</v>
      </c>
      <c r="B22" s="3">
        <f>Forecast_Base!I$19</f>
        <v>36769.739050864184</v>
      </c>
      <c r="C22" s="3">
        <f>0</f>
        <v>0</v>
      </c>
      <c r="D22" s="2"/>
      <c r="E22" s="2"/>
      <c r="F22" s="2"/>
      <c r="G22" s="2" t="str">
        <f>Forecast_Base!S$4</f>
        <v>oct 27</v>
      </c>
      <c r="H22" s="3">
        <f>Forecast_Base!S$9</f>
        <v>334450.80685872812</v>
      </c>
      <c r="I22" s="3">
        <f>Forecast_Base!S$17</f>
        <v>73557.314437841123</v>
      </c>
      <c r="J22" s="2"/>
      <c r="K22" s="2"/>
      <c r="L22" s="2"/>
      <c r="M22" s="2"/>
      <c r="N22" s="2"/>
    </row>
    <row r="23" spans="1:14">
      <c r="A23" s="2" t="str">
        <f>Forecast_Base!J$4</f>
        <v>ene 27</v>
      </c>
      <c r="B23" s="3">
        <f>Forecast_Base!J$19</f>
        <v>56944.621945491082</v>
      </c>
      <c r="C23" s="3">
        <f>0</f>
        <v>0</v>
      </c>
      <c r="D23" s="2"/>
      <c r="E23" s="2"/>
      <c r="F23" s="2"/>
      <c r="G23" s="2" t="str">
        <f>Forecast_Base!T$4</f>
        <v>nov 27</v>
      </c>
      <c r="H23" s="3">
        <f>Forecast_Base!T$9</f>
        <v>370410.60960622231</v>
      </c>
      <c r="I23" s="3">
        <f>Forecast_Base!T$17</f>
        <v>82041.947537547647</v>
      </c>
      <c r="J23" s="2"/>
      <c r="K23" s="2"/>
      <c r="L23" s="2"/>
      <c r="M23" s="2"/>
      <c r="N23" s="2"/>
    </row>
    <row r="24" spans="1:14">
      <c r="A24" s="2" t="str">
        <f>Forecast_Base!K$4</f>
        <v>feb 27</v>
      </c>
      <c r="B24" s="3">
        <f>Forecast_Base!K$19</f>
        <v>81383.51305041743</v>
      </c>
      <c r="C24" s="3">
        <f>0</f>
        <v>0</v>
      </c>
      <c r="D24" s="2"/>
      <c r="E24" s="2"/>
      <c r="F24" s="2"/>
      <c r="G24" s="2" t="str">
        <f>Forecast_Base!U$4</f>
        <v>dic 27</v>
      </c>
      <c r="H24" s="3">
        <f>Forecast_Base!U$9</f>
        <v>409765.2148635363</v>
      </c>
      <c r="I24" s="3">
        <f>Forecast_Base!U$17</f>
        <v>91830.358930271061</v>
      </c>
      <c r="J24" s="2"/>
      <c r="K24" s="2"/>
      <c r="L24" s="2"/>
      <c r="M24" s="2"/>
      <c r="N24" s="2"/>
    </row>
    <row r="25" spans="1:14">
      <c r="A25" s="2" t="str">
        <f>Forecast_Base!L$4</f>
        <v>mar 27</v>
      </c>
      <c r="B25" s="3">
        <f>Forecast_Base!L$19</f>
        <v>110406.83751300625</v>
      </c>
      <c r="C25" s="3">
        <f>0</f>
        <v>0</v>
      </c>
      <c r="D25" s="2"/>
      <c r="E25" s="2"/>
      <c r="F25" s="2"/>
      <c r="G25" s="2" t="str">
        <f>Forecast_Base!V$4</f>
        <v>ene 28</v>
      </c>
      <c r="H25" s="3">
        <f>Forecast_Base!V$9</f>
        <v>452870.19710284629</v>
      </c>
      <c r="I25" s="3">
        <f>Forecast_Base!V$17</f>
        <v>102551.57685319734</v>
      </c>
      <c r="J25" s="2"/>
      <c r="K25" s="2"/>
      <c r="L25" s="2"/>
      <c r="M25" s="2"/>
      <c r="N25" s="2"/>
    </row>
    <row r="26" spans="1:14">
      <c r="A26" s="2" t="str">
        <f>Forecast_Base!M$4</f>
        <v>abr 27</v>
      </c>
      <c r="B26" s="3">
        <f>Forecast_Base!M$19</f>
        <v>144375.54104925017</v>
      </c>
      <c r="C26" s="3">
        <f>0</f>
        <v>0</v>
      </c>
      <c r="D26" s="2"/>
      <c r="E26" s="2"/>
      <c r="F26" s="2"/>
      <c r="G26" s="2" t="str">
        <f>Forecast_Base!W$4</f>
        <v>feb 28</v>
      </c>
      <c r="H26" s="3">
        <f>Forecast_Base!W$9</f>
        <v>500115.4007058508</v>
      </c>
      <c r="I26" s="3">
        <f>Forecast_Base!W$17</f>
        <v>114302.56472807231</v>
      </c>
      <c r="J26" s="2"/>
      <c r="K26" s="2"/>
      <c r="L26" s="2"/>
      <c r="M26" s="2"/>
      <c r="N26" s="2"/>
    </row>
    <row r="27" spans="1:14">
      <c r="A27" s="2" t="str">
        <f>Forecast_Base!N$4</f>
        <v>may 27</v>
      </c>
      <c r="B27" s="3">
        <f>Forecast_Base!N$19</f>
        <v>183284.27495632303</v>
      </c>
      <c r="C27" s="3">
        <f>0</f>
        <v>0</v>
      </c>
      <c r="D27" s="2"/>
      <c r="E27" s="2"/>
      <c r="F27" s="2"/>
      <c r="G27" s="2" t="str">
        <f>Forecast_Base!X$4</f>
        <v>mar 28</v>
      </c>
      <c r="H27" s="3">
        <f>Forecast_Base!X$9</f>
        <v>551928.46995773807</v>
      </c>
      <c r="I27" s="3">
        <f>Forecast_Base!X$17</f>
        <v>127189.6876973183</v>
      </c>
      <c r="J27" s="2"/>
      <c r="K27" s="2"/>
      <c r="L27" s="2"/>
      <c r="M27" s="2"/>
      <c r="N27" s="2"/>
    </row>
    <row r="28" spans="1:14">
      <c r="A28" s="2" t="str">
        <f>Forecast_Base!O$4</f>
        <v>jun 27</v>
      </c>
      <c r="B28" s="3">
        <f>Forecast_Base!O$19</f>
        <v>227995.72796593138</v>
      </c>
      <c r="C28" s="3">
        <f>0</f>
        <v>0</v>
      </c>
      <c r="D28" s="2"/>
      <c r="E28" s="2"/>
      <c r="F28" s="2"/>
      <c r="G28" s="2" t="str">
        <f>Forecast_Base!Y$4</f>
        <v>abr 28</v>
      </c>
      <c r="H28" s="3">
        <f>Forecast_Base!Y$9</f>
        <v>608778.72380030993</v>
      </c>
      <c r="I28" s="3">
        <f>Forecast_Base!Y$17</f>
        <v>141329.67636582177</v>
      </c>
      <c r="J28" s="2"/>
      <c r="K28" s="2"/>
      <c r="L28" s="2"/>
      <c r="M28" s="2"/>
      <c r="N28" s="2"/>
    </row>
    <row r="29" spans="1:14">
      <c r="A29" s="2" t="str">
        <f>Forecast_Base!P$4</f>
        <v>jul 27</v>
      </c>
      <c r="B29" s="3">
        <f>Forecast_Base!P$19</f>
        <v>279014.25176178245</v>
      </c>
      <c r="C29" s="3">
        <f>0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 t="str">
        <f>Forecast_Base!Q$4</f>
        <v>ago 27</v>
      </c>
      <c r="B30" s="3">
        <f>Forecast_Base!Q$19</f>
        <v>336900.70681407803</v>
      </c>
      <c r="C30" s="3">
        <f>0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 t="str">
        <f>Forecast_Base!R$4</f>
        <v>sept 27</v>
      </c>
      <c r="B31" s="3">
        <f>Forecast_Base!R$19</f>
        <v>402277.62736871379</v>
      </c>
      <c r="C31" s="3">
        <f>0</f>
        <v>0</v>
      </c>
      <c r="D31" s="2"/>
      <c r="E31" s="2"/>
      <c r="F31" s="2"/>
      <c r="G31" s="2"/>
      <c r="H31" s="2"/>
      <c r="I31" s="2"/>
      <c r="J31" s="1" t="s">
        <v>32</v>
      </c>
      <c r="K31" s="1" t="s">
        <v>33</v>
      </c>
      <c r="L31" s="1" t="s">
        <v>34</v>
      </c>
      <c r="M31" s="1" t="s">
        <v>35</v>
      </c>
      <c r="N31" s="1" t="s">
        <v>36</v>
      </c>
    </row>
    <row r="32" spans="1:14" ht="45">
      <c r="A32" s="2" t="str">
        <f>Forecast_Base!S$4</f>
        <v>oct 27</v>
      </c>
      <c r="B32" s="3">
        <f>Forecast_Base!S$19</f>
        <v>475834.94180655491</v>
      </c>
      <c r="C32" s="3">
        <f>0</f>
        <v>0</v>
      </c>
      <c r="D32" s="2"/>
      <c r="E32" s="2"/>
      <c r="F32" s="2"/>
      <c r="G32" s="2"/>
      <c r="H32" s="2"/>
      <c r="I32" s="2"/>
      <c r="J32" s="2" t="str">
        <f>Escenarios!A5</f>
        <v>Conservador</v>
      </c>
      <c r="K32" s="3">
        <f>Escenarios!I5</f>
        <v>2503.7439175721356</v>
      </c>
      <c r="L32" s="4" t="str">
        <f>Escenarios!K5</f>
        <v>Sirve si la conversión tarda y se compite más por precio.</v>
      </c>
      <c r="M32" s="3">
        <f>Escenarios!B5</f>
        <v>210</v>
      </c>
      <c r="N32" s="6">
        <f>Escenarios!F5</f>
        <v>0.12</v>
      </c>
    </row>
    <row r="33" spans="1:14" ht="60">
      <c r="A33" s="2" t="str">
        <f>Forecast_Base!T$4</f>
        <v>nov 27</v>
      </c>
      <c r="B33" s="3">
        <f>Forecast_Base!T$19</f>
        <v>557876.88934410259</v>
      </c>
      <c r="C33" s="3">
        <f>0</f>
        <v>0</v>
      </c>
      <c r="D33" s="2"/>
      <c r="E33" s="2"/>
      <c r="F33" s="2"/>
      <c r="G33" s="2"/>
      <c r="H33" s="2"/>
      <c r="I33" s="2"/>
      <c r="J33" s="2" t="str">
        <f>Escenarios!A6</f>
        <v>Base</v>
      </c>
      <c r="K33" s="3">
        <f>Escenarios!I6</f>
        <v>33968.703536243935</v>
      </c>
      <c r="L33" s="4" t="str">
        <f>Escenarios!K6</f>
        <v>Caso recomendado: premium moderado, enfoque virtual y seguimiento.</v>
      </c>
      <c r="M33" s="3">
        <f>Escenarios!B6</f>
        <v>235</v>
      </c>
      <c r="N33" s="6">
        <f>Escenarios!F6</f>
        <v>0.08</v>
      </c>
    </row>
    <row r="34" spans="1:14" ht="45">
      <c r="A34" s="2" t="str">
        <f>Forecast_Base!U$4</f>
        <v>dic 27</v>
      </c>
      <c r="B34" s="3">
        <f>Forecast_Base!U$19</f>
        <v>649707.24827437359</v>
      </c>
      <c r="C34" s="3">
        <f>0</f>
        <v>0</v>
      </c>
      <c r="D34" s="2"/>
      <c r="E34" s="2"/>
      <c r="F34" s="2"/>
      <c r="G34" s="2"/>
      <c r="H34" s="2"/>
      <c r="I34" s="2"/>
      <c r="J34" s="2" t="str">
        <f>Escenarios!A7</f>
        <v>Acelerado</v>
      </c>
      <c r="K34" s="3">
        <f>Escenarios!I7</f>
        <v>127188.56544741307</v>
      </c>
      <c r="L34" s="4" t="str">
        <f>Escenarios!K7</f>
        <v>Requiere fuerte ejecución comercial y calidad operativa.</v>
      </c>
      <c r="M34" s="3">
        <f>Escenarios!B7</f>
        <v>250</v>
      </c>
      <c r="N34" s="6">
        <f>Escenarios!F7</f>
        <v>0.06</v>
      </c>
    </row>
    <row r="35" spans="1:14">
      <c r="A35" s="2" t="str">
        <f>Forecast_Base!V$4</f>
        <v>ene 28</v>
      </c>
      <c r="B35" s="3">
        <f>Forecast_Base!V$19</f>
        <v>752258.82512757089</v>
      </c>
      <c r="C35" s="3">
        <f>0</f>
        <v>0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 t="str">
        <f>Forecast_Base!W$4</f>
        <v>feb 28</v>
      </c>
      <c r="B36" s="3">
        <f>Forecast_Base!W$19</f>
        <v>866561.38985564315</v>
      </c>
      <c r="C36" s="3">
        <f>0</f>
        <v>0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 t="str">
        <f>Forecast_Base!X$4</f>
        <v>mar 28</v>
      </c>
      <c r="B37" s="3">
        <f>Forecast_Base!X$19</f>
        <v>993751.07755296142</v>
      </c>
      <c r="C37" s="3">
        <f>0</f>
        <v>0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 t="str">
        <f>Forecast_Base!Y$4</f>
        <v>abr 28</v>
      </c>
      <c r="B38" s="3">
        <f>Forecast_Base!Y$19</f>
        <v>1135080.7539187833</v>
      </c>
      <c r="C38" s="3">
        <f>0</f>
        <v>0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1" t="s">
        <v>37</v>
      </c>
      <c r="B41" s="1" t="s">
        <v>38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 t="s">
        <v>39</v>
      </c>
      <c r="B42" s="3">
        <f>Forecast_Base!M10</f>
        <v>121544.09258703378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 t="s">
        <v>40</v>
      </c>
      <c r="B43" s="3">
        <f>Forecast_Base!M15</f>
        <v>3418.2400000000002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 t="s">
        <v>41</v>
      </c>
      <c r="B44" s="3">
        <f>Forecast_Base!M16</f>
        <v>5800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 t="s">
        <v>42</v>
      </c>
      <c r="B45" s="3">
        <f>Forecast_Base!M11+Forecast_Base!M12</f>
        <v>8903.3818581991309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2">
    <mergeCell ref="A1:N1"/>
    <mergeCell ref="A2:N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6"/>
  <sheetViews>
    <sheetView showGridLines="0" workbookViewId="0"/>
  </sheetViews>
  <sheetFormatPr baseColWidth="10" defaultColWidth="8.83203125" defaultRowHeight="14"/>
  <cols>
    <col min="1" max="1" width="28.83203125" customWidth="1"/>
    <col min="2" max="3" width="14.1640625" customWidth="1"/>
    <col min="4" max="4" width="15.33203125" customWidth="1"/>
    <col min="5" max="5" width="21.5" customWidth="1"/>
    <col min="6" max="6" width="43.5" customWidth="1"/>
  </cols>
  <sheetData>
    <row r="1" spans="1:14" ht="25.5" customHeight="1">
      <c r="A1" s="19" t="s">
        <v>43</v>
      </c>
      <c r="B1" s="19" t="s">
        <v>43</v>
      </c>
      <c r="C1" s="19" t="s">
        <v>43</v>
      </c>
      <c r="D1" s="19" t="s">
        <v>43</v>
      </c>
      <c r="E1" s="19" t="s">
        <v>43</v>
      </c>
      <c r="F1" s="19" t="s">
        <v>43</v>
      </c>
      <c r="G1" s="18"/>
      <c r="H1" s="18"/>
      <c r="I1" s="18"/>
      <c r="J1" s="18"/>
      <c r="K1" s="18"/>
      <c r="L1" s="18"/>
      <c r="M1" s="18"/>
      <c r="N1" s="18"/>
    </row>
    <row r="2" spans="1:14" ht="18" customHeight="1">
      <c r="A2" s="20" t="s">
        <v>44</v>
      </c>
      <c r="B2" s="20" t="s">
        <v>44</v>
      </c>
      <c r="C2" s="20" t="s">
        <v>44</v>
      </c>
      <c r="D2" s="20" t="s">
        <v>44</v>
      </c>
      <c r="E2" s="20" t="s">
        <v>44</v>
      </c>
      <c r="F2" s="20" t="s">
        <v>44</v>
      </c>
    </row>
    <row r="3" spans="1:14">
      <c r="A3" s="2"/>
      <c r="B3" s="2"/>
      <c r="C3" s="2"/>
      <c r="D3" s="2"/>
      <c r="E3" s="2"/>
      <c r="F3" s="2"/>
    </row>
    <row r="4" spans="1:14" ht="15" customHeight="1">
      <c r="A4" s="1" t="s">
        <v>45</v>
      </c>
      <c r="B4" s="1" t="s">
        <v>46</v>
      </c>
      <c r="C4" s="1" t="s">
        <v>47</v>
      </c>
      <c r="D4" s="1" t="s">
        <v>48</v>
      </c>
      <c r="E4" s="1" t="s">
        <v>49</v>
      </c>
      <c r="F4" s="1" t="s">
        <v>50</v>
      </c>
    </row>
    <row r="5" spans="1:14" ht="26.25" customHeight="1">
      <c r="A5" s="4" t="s">
        <v>51</v>
      </c>
      <c r="B5" s="4" t="s">
        <v>52</v>
      </c>
      <c r="C5" s="7">
        <v>7.63</v>
      </c>
      <c r="D5" s="4" t="s">
        <v>53</v>
      </c>
      <c r="E5" s="4" t="s">
        <v>54</v>
      </c>
      <c r="F5" s="4" t="s">
        <v>55</v>
      </c>
    </row>
    <row r="6" spans="1:14" ht="26.25" customHeight="1">
      <c r="A6" s="4" t="s">
        <v>56</v>
      </c>
      <c r="B6" s="4" t="s">
        <v>57</v>
      </c>
      <c r="C6" s="8">
        <v>225</v>
      </c>
      <c r="D6" s="4" t="s">
        <v>58</v>
      </c>
      <c r="E6" s="4" t="s">
        <v>59</v>
      </c>
      <c r="F6" s="4" t="s">
        <v>60</v>
      </c>
    </row>
    <row r="7" spans="1:14" ht="26.25" customHeight="1">
      <c r="A7" s="4" t="s">
        <v>56</v>
      </c>
      <c r="B7" s="4" t="s">
        <v>61</v>
      </c>
      <c r="C7" s="8">
        <v>275</v>
      </c>
      <c r="D7" s="4" t="s">
        <v>58</v>
      </c>
      <c r="E7" s="4" t="s">
        <v>59</v>
      </c>
      <c r="F7" s="4" t="s">
        <v>60</v>
      </c>
    </row>
    <row r="8" spans="1:14" ht="26.25" customHeight="1">
      <c r="A8" s="4" t="s">
        <v>56</v>
      </c>
      <c r="B8" s="4" t="s">
        <v>62</v>
      </c>
      <c r="C8" s="9">
        <v>0.8</v>
      </c>
      <c r="D8" s="4" t="s">
        <v>63</v>
      </c>
      <c r="E8" s="4" t="s">
        <v>64</v>
      </c>
      <c r="F8" s="4" t="s">
        <v>65</v>
      </c>
    </row>
    <row r="9" spans="1:14" ht="15" customHeight="1">
      <c r="A9" s="4" t="s">
        <v>56</v>
      </c>
      <c r="B9" s="4" t="s">
        <v>66</v>
      </c>
      <c r="C9" s="9">
        <v>0.2</v>
      </c>
      <c r="D9" s="4" t="s">
        <v>63</v>
      </c>
      <c r="E9" s="4" t="s">
        <v>64</v>
      </c>
      <c r="F9" s="4" t="s">
        <v>67</v>
      </c>
    </row>
    <row r="10" spans="1:14" ht="15" customHeight="1">
      <c r="A10" s="4" t="s">
        <v>68</v>
      </c>
      <c r="B10" s="4" t="s">
        <v>69</v>
      </c>
      <c r="C10" s="9">
        <v>0.7</v>
      </c>
      <c r="D10" s="4" t="s">
        <v>70</v>
      </c>
      <c r="E10" s="4" t="s">
        <v>59</v>
      </c>
      <c r="F10" s="4" t="s">
        <v>71</v>
      </c>
    </row>
    <row r="11" spans="1:14" ht="26.25" customHeight="1">
      <c r="A11" s="4" t="s">
        <v>68</v>
      </c>
      <c r="B11" s="4" t="s">
        <v>72</v>
      </c>
      <c r="C11" s="8">
        <v>0.03</v>
      </c>
      <c r="D11" s="4" t="s">
        <v>70</v>
      </c>
      <c r="E11" s="4" t="s">
        <v>73</v>
      </c>
      <c r="F11" s="4" t="s">
        <v>74</v>
      </c>
    </row>
    <row r="12" spans="1:14" ht="26.25" customHeight="1">
      <c r="A12" s="4" t="s">
        <v>68</v>
      </c>
      <c r="B12" s="4" t="s">
        <v>75</v>
      </c>
      <c r="C12" s="10">
        <v>5</v>
      </c>
      <c r="D12" s="4" t="s">
        <v>58</v>
      </c>
      <c r="E12" s="4" t="s">
        <v>76</v>
      </c>
      <c r="F12" s="4" t="s">
        <v>77</v>
      </c>
    </row>
    <row r="13" spans="1:14" ht="26.25" customHeight="1">
      <c r="A13" s="4" t="s">
        <v>78</v>
      </c>
      <c r="B13" s="4" t="s">
        <v>79</v>
      </c>
      <c r="C13" s="10">
        <v>6</v>
      </c>
      <c r="D13" s="4" t="s">
        <v>80</v>
      </c>
      <c r="E13" s="4" t="s">
        <v>81</v>
      </c>
      <c r="F13" s="4" t="s">
        <v>82</v>
      </c>
    </row>
    <row r="14" spans="1:14" ht="26.25" customHeight="1">
      <c r="A14" s="4" t="s">
        <v>78</v>
      </c>
      <c r="B14" s="4" t="s">
        <v>83</v>
      </c>
      <c r="C14" s="9">
        <v>8</v>
      </c>
      <c r="D14" s="4" t="s">
        <v>84</v>
      </c>
      <c r="E14" s="4" t="s">
        <v>85</v>
      </c>
      <c r="F14" s="4" t="s">
        <v>86</v>
      </c>
    </row>
    <row r="15" spans="1:14" ht="39.5" customHeight="1">
      <c r="A15" s="4" t="s">
        <v>78</v>
      </c>
      <c r="B15" s="4" t="s">
        <v>87</v>
      </c>
      <c r="C15" s="9">
        <v>0.1</v>
      </c>
      <c r="D15" s="4" t="s">
        <v>88</v>
      </c>
      <c r="E15" s="4" t="s">
        <v>85</v>
      </c>
      <c r="F15" s="4" t="s">
        <v>89</v>
      </c>
    </row>
    <row r="16" spans="1:14" ht="26.25" customHeight="1">
      <c r="A16" s="4" t="s">
        <v>78</v>
      </c>
      <c r="B16" s="4" t="s">
        <v>90</v>
      </c>
      <c r="C16" s="8">
        <v>0.08</v>
      </c>
      <c r="D16" s="4" t="s">
        <v>88</v>
      </c>
      <c r="E16" s="4" t="s">
        <v>91</v>
      </c>
      <c r="F16" s="4" t="s">
        <v>92</v>
      </c>
    </row>
    <row r="17" spans="1:6" ht="26.25" customHeight="1">
      <c r="A17" s="4" t="s">
        <v>19</v>
      </c>
      <c r="B17" s="4" t="s">
        <v>93</v>
      </c>
      <c r="C17" s="9">
        <v>400</v>
      </c>
      <c r="D17" s="4" t="s">
        <v>94</v>
      </c>
      <c r="E17" s="4" t="s">
        <v>95</v>
      </c>
      <c r="F17" s="4" t="s">
        <v>96</v>
      </c>
    </row>
    <row r="18" spans="1:6" ht="39.5" customHeight="1">
      <c r="A18" s="4" t="s">
        <v>19</v>
      </c>
      <c r="B18" s="4" t="s">
        <v>97</v>
      </c>
      <c r="C18" s="9">
        <v>0.12</v>
      </c>
      <c r="D18" s="4" t="s">
        <v>88</v>
      </c>
      <c r="E18" s="4" t="s">
        <v>98</v>
      </c>
      <c r="F18" s="4" t="s">
        <v>99</v>
      </c>
    </row>
    <row r="19" spans="1:6" ht="26.25" customHeight="1">
      <c r="A19" s="4" t="s">
        <v>19</v>
      </c>
      <c r="B19" s="4" t="s">
        <v>100</v>
      </c>
      <c r="C19" s="8">
        <v>75</v>
      </c>
      <c r="D19" s="4" t="s">
        <v>101</v>
      </c>
      <c r="E19" s="4" t="s">
        <v>102</v>
      </c>
      <c r="F19" s="4" t="s">
        <v>103</v>
      </c>
    </row>
    <row r="20" spans="1:6" ht="26.25" customHeight="1">
      <c r="A20" s="4" t="s">
        <v>19</v>
      </c>
      <c r="B20" s="4" t="s">
        <v>104</v>
      </c>
      <c r="C20" s="8">
        <v>0.08</v>
      </c>
      <c r="D20" s="4" t="s">
        <v>88</v>
      </c>
      <c r="E20" s="4" t="s">
        <v>105</v>
      </c>
      <c r="F20" s="4" t="s">
        <v>106</v>
      </c>
    </row>
    <row r="21" spans="1:6" ht="26.25" customHeight="1">
      <c r="A21" s="4" t="s">
        <v>107</v>
      </c>
      <c r="B21" s="4" t="s">
        <v>108</v>
      </c>
      <c r="C21" s="8">
        <v>3000</v>
      </c>
      <c r="D21" s="4" t="s">
        <v>109</v>
      </c>
      <c r="E21" s="4" t="s">
        <v>110</v>
      </c>
      <c r="F21" s="4" t="s">
        <v>111</v>
      </c>
    </row>
    <row r="22" spans="1:6" ht="26.25" customHeight="1">
      <c r="A22" s="4" t="s">
        <v>107</v>
      </c>
      <c r="B22" s="4" t="s">
        <v>112</v>
      </c>
      <c r="C22" s="8">
        <v>600</v>
      </c>
      <c r="D22" s="4" t="s">
        <v>109</v>
      </c>
      <c r="E22" s="4" t="s">
        <v>113</v>
      </c>
      <c r="F22" s="4" t="s">
        <v>114</v>
      </c>
    </row>
    <row r="23" spans="1:6" ht="26.25" customHeight="1">
      <c r="A23" s="4" t="s">
        <v>107</v>
      </c>
      <c r="B23" s="4" t="s">
        <v>115</v>
      </c>
      <c r="C23" s="8">
        <v>1200</v>
      </c>
      <c r="D23" s="4" t="s">
        <v>109</v>
      </c>
      <c r="E23" s="4" t="s">
        <v>116</v>
      </c>
      <c r="F23" s="4" t="s">
        <v>117</v>
      </c>
    </row>
    <row r="24" spans="1:6" ht="26.25" customHeight="1">
      <c r="A24" s="4" t="s">
        <v>107</v>
      </c>
      <c r="B24" s="4" t="s">
        <v>118</v>
      </c>
      <c r="C24" s="8">
        <v>500</v>
      </c>
      <c r="D24" s="4" t="s">
        <v>109</v>
      </c>
      <c r="E24" s="4" t="s">
        <v>119</v>
      </c>
      <c r="F24" s="4" t="s">
        <v>120</v>
      </c>
    </row>
    <row r="25" spans="1:6" ht="15" customHeight="1">
      <c r="A25" s="4" t="s">
        <v>107</v>
      </c>
      <c r="B25" s="4" t="s">
        <v>121</v>
      </c>
      <c r="C25" s="11">
        <v>500</v>
      </c>
      <c r="D25" s="4" t="s">
        <v>109</v>
      </c>
      <c r="E25" s="4" t="s">
        <v>122</v>
      </c>
      <c r="F25" s="4" t="s">
        <v>123</v>
      </c>
    </row>
    <row r="26" spans="1:6" ht="26.25" customHeight="1">
      <c r="A26" s="4" t="s">
        <v>124</v>
      </c>
      <c r="B26" s="4" t="s">
        <v>125</v>
      </c>
      <c r="C26" s="11">
        <v>24500</v>
      </c>
      <c r="D26" s="4" t="s">
        <v>126</v>
      </c>
      <c r="E26" s="4" t="s">
        <v>127</v>
      </c>
      <c r="F26" s="4" t="s">
        <v>128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4"/>
  <sheetViews>
    <sheetView showGridLines="0" workbookViewId="0"/>
  </sheetViews>
  <sheetFormatPr baseColWidth="10" defaultColWidth="8.83203125" defaultRowHeight="14"/>
  <cols>
    <col min="1" max="1" width="20.1640625" customWidth="1"/>
    <col min="2" max="2" width="38.6640625" customWidth="1"/>
    <col min="3" max="4" width="16.5" customWidth="1"/>
    <col min="5" max="5" width="21.5" customWidth="1"/>
    <col min="6" max="6" width="20.1640625" customWidth="1"/>
    <col min="7" max="7" width="21.5" customWidth="1"/>
    <col min="8" max="8" width="43.5" customWidth="1"/>
  </cols>
  <sheetData>
    <row r="1" spans="1:14" ht="25.5" customHeight="1">
      <c r="A1" s="19" t="s">
        <v>129</v>
      </c>
      <c r="B1" s="19" t="s">
        <v>129</v>
      </c>
      <c r="C1" s="19" t="s">
        <v>129</v>
      </c>
      <c r="D1" s="19" t="s">
        <v>129</v>
      </c>
      <c r="E1" s="19" t="s">
        <v>129</v>
      </c>
      <c r="F1" s="19" t="s">
        <v>129</v>
      </c>
      <c r="G1" s="19" t="s">
        <v>129</v>
      </c>
      <c r="H1" s="19" t="s">
        <v>129</v>
      </c>
      <c r="I1" s="18"/>
      <c r="J1" s="18"/>
      <c r="K1" s="18"/>
      <c r="L1" s="18"/>
      <c r="M1" s="18"/>
      <c r="N1" s="18"/>
    </row>
    <row r="2" spans="1:14" ht="18" customHeight="1">
      <c r="A2" s="20" t="s">
        <v>130</v>
      </c>
      <c r="B2" s="20" t="s">
        <v>130</v>
      </c>
      <c r="C2" s="20" t="s">
        <v>130</v>
      </c>
      <c r="D2" s="20" t="s">
        <v>130</v>
      </c>
      <c r="E2" s="20" t="s">
        <v>130</v>
      </c>
      <c r="F2" s="20" t="s">
        <v>130</v>
      </c>
      <c r="G2" s="20" t="s">
        <v>130</v>
      </c>
      <c r="H2" s="20" t="s">
        <v>130</v>
      </c>
    </row>
    <row r="3" spans="1:14">
      <c r="A3" s="2"/>
      <c r="B3" s="2"/>
      <c r="C3" s="2"/>
      <c r="D3" s="2"/>
      <c r="E3" s="2"/>
      <c r="F3" s="2"/>
      <c r="G3" s="2"/>
      <c r="H3" s="2"/>
    </row>
    <row r="4" spans="1:14" ht="15" customHeight="1">
      <c r="A4" s="1" t="s">
        <v>131</v>
      </c>
      <c r="B4" s="1" t="s">
        <v>132</v>
      </c>
      <c r="C4" s="1" t="s">
        <v>133</v>
      </c>
      <c r="D4" s="1" t="s">
        <v>134</v>
      </c>
      <c r="E4" s="1" t="s">
        <v>49</v>
      </c>
      <c r="F4" s="1" t="s">
        <v>135</v>
      </c>
      <c r="G4" s="1" t="s">
        <v>136</v>
      </c>
      <c r="H4" s="1" t="s">
        <v>50</v>
      </c>
    </row>
    <row r="5" spans="1:14" ht="39.5" customHeight="1">
      <c r="A5" s="4" t="s">
        <v>137</v>
      </c>
      <c r="B5" s="4" t="s">
        <v>138</v>
      </c>
      <c r="C5" s="4" t="s">
        <v>139</v>
      </c>
      <c r="D5" s="4" t="s">
        <v>140</v>
      </c>
      <c r="E5" s="4" t="s">
        <v>141</v>
      </c>
      <c r="F5" s="4" t="s">
        <v>142</v>
      </c>
      <c r="G5" s="4" t="s">
        <v>143</v>
      </c>
      <c r="H5" s="4" t="s">
        <v>144</v>
      </c>
    </row>
    <row r="6" spans="1:14" ht="66" customHeight="1">
      <c r="A6" s="4" t="s">
        <v>145</v>
      </c>
      <c r="B6" s="4" t="s">
        <v>146</v>
      </c>
      <c r="C6" s="4" t="s">
        <v>147</v>
      </c>
      <c r="D6" s="4" t="s">
        <v>148</v>
      </c>
      <c r="E6" s="4" t="s">
        <v>149</v>
      </c>
      <c r="F6" s="4" t="s">
        <v>142</v>
      </c>
      <c r="G6" s="4" t="s">
        <v>150</v>
      </c>
      <c r="H6" s="4" t="s">
        <v>151</v>
      </c>
    </row>
    <row r="7" spans="1:14" ht="52.75" customHeight="1">
      <c r="A7" s="4" t="s">
        <v>152</v>
      </c>
      <c r="B7" s="4" t="s">
        <v>153</v>
      </c>
      <c r="C7" s="4" t="s">
        <v>154</v>
      </c>
      <c r="D7" s="4" t="s">
        <v>155</v>
      </c>
      <c r="E7" s="4" t="s">
        <v>156</v>
      </c>
      <c r="F7" s="4" t="s">
        <v>142</v>
      </c>
      <c r="G7" s="4" t="s">
        <v>157</v>
      </c>
      <c r="H7" s="4" t="s">
        <v>158</v>
      </c>
    </row>
    <row r="8" spans="1:14" ht="39.5" customHeight="1">
      <c r="A8" s="4" t="s">
        <v>159</v>
      </c>
      <c r="B8" s="4" t="s">
        <v>160</v>
      </c>
      <c r="C8" s="4" t="s">
        <v>161</v>
      </c>
      <c r="D8" s="4" t="s">
        <v>162</v>
      </c>
      <c r="E8" s="4" t="s">
        <v>163</v>
      </c>
      <c r="F8" s="4" t="s">
        <v>164</v>
      </c>
      <c r="G8" s="4" t="s">
        <v>165</v>
      </c>
      <c r="H8" s="4" t="s">
        <v>166</v>
      </c>
    </row>
    <row r="9" spans="1:14" ht="52.75" customHeight="1">
      <c r="A9" s="4" t="s">
        <v>167</v>
      </c>
      <c r="B9" s="4" t="s">
        <v>168</v>
      </c>
      <c r="C9" s="4" t="s">
        <v>169</v>
      </c>
      <c r="D9" s="4" t="s">
        <v>170</v>
      </c>
      <c r="E9" s="4" t="s">
        <v>171</v>
      </c>
      <c r="F9" s="4" t="s">
        <v>172</v>
      </c>
      <c r="G9" s="4" t="s">
        <v>173</v>
      </c>
      <c r="H9" s="4" t="s">
        <v>174</v>
      </c>
    </row>
    <row r="10" spans="1:14" ht="39.5" customHeight="1">
      <c r="A10" s="4" t="s">
        <v>175</v>
      </c>
      <c r="B10" s="4" t="s">
        <v>176</v>
      </c>
      <c r="C10" s="4" t="s">
        <v>177</v>
      </c>
      <c r="D10" s="4" t="s">
        <v>178</v>
      </c>
      <c r="E10" s="4" t="s">
        <v>179</v>
      </c>
      <c r="F10" s="4" t="s">
        <v>142</v>
      </c>
      <c r="G10" s="4" t="s">
        <v>180</v>
      </c>
      <c r="H10" s="4" t="s">
        <v>181</v>
      </c>
    </row>
    <row r="11" spans="1:14" ht="39.5" customHeight="1">
      <c r="A11" s="4" t="s">
        <v>40</v>
      </c>
      <c r="B11" s="4" t="s">
        <v>182</v>
      </c>
      <c r="C11" s="4" t="s">
        <v>183</v>
      </c>
      <c r="D11" s="4" t="s">
        <v>184</v>
      </c>
      <c r="E11" s="4" t="s">
        <v>102</v>
      </c>
      <c r="F11" s="4" t="s">
        <v>164</v>
      </c>
      <c r="G11" s="4" t="s">
        <v>185</v>
      </c>
      <c r="H11" s="4" t="s">
        <v>186</v>
      </c>
    </row>
    <row r="12" spans="1:14" ht="52.75" customHeight="1">
      <c r="A12" s="4" t="s">
        <v>187</v>
      </c>
      <c r="B12" s="4" t="s">
        <v>188</v>
      </c>
      <c r="C12" s="4" t="s">
        <v>189</v>
      </c>
      <c r="D12" s="4" t="s">
        <v>190</v>
      </c>
      <c r="E12" s="4" t="s">
        <v>191</v>
      </c>
      <c r="F12" s="4" t="s">
        <v>164</v>
      </c>
      <c r="G12" s="4" t="s">
        <v>192</v>
      </c>
      <c r="H12" s="4" t="s">
        <v>193</v>
      </c>
    </row>
    <row r="13" spans="1:14" ht="39.5" customHeight="1">
      <c r="A13" s="4" t="s">
        <v>194</v>
      </c>
      <c r="B13" s="4" t="s">
        <v>195</v>
      </c>
      <c r="C13" s="4" t="s">
        <v>196</v>
      </c>
      <c r="D13" s="4" t="s">
        <v>197</v>
      </c>
      <c r="E13" s="4" t="s">
        <v>198</v>
      </c>
      <c r="F13" s="4" t="s">
        <v>142</v>
      </c>
      <c r="G13" s="4" t="s">
        <v>199</v>
      </c>
      <c r="H13" s="4" t="s">
        <v>200</v>
      </c>
    </row>
    <row r="14" spans="1:14" ht="39.5" customHeight="1">
      <c r="A14" s="4" t="s">
        <v>201</v>
      </c>
      <c r="B14" s="4" t="s">
        <v>202</v>
      </c>
      <c r="C14" s="4" t="s">
        <v>203</v>
      </c>
      <c r="D14" s="4" t="s">
        <v>204</v>
      </c>
      <c r="E14" s="4" t="s">
        <v>205</v>
      </c>
      <c r="F14" s="4" t="s">
        <v>164</v>
      </c>
      <c r="G14" s="4" t="s">
        <v>206</v>
      </c>
      <c r="H14" s="4" t="s">
        <v>207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showGridLines="0" workbookViewId="0"/>
  </sheetViews>
  <sheetFormatPr baseColWidth="10" defaultColWidth="8.83203125" defaultRowHeight="14"/>
  <cols>
    <col min="1" max="1" width="30" customWidth="1"/>
    <col min="2" max="2" width="15.33203125" customWidth="1"/>
    <col min="3" max="4" width="14.1640625" customWidth="1"/>
    <col min="5" max="5" width="19" customWidth="1"/>
    <col min="6" max="7" width="21.5" customWidth="1"/>
    <col min="8" max="8" width="36.1640625" customWidth="1"/>
  </cols>
  <sheetData>
    <row r="1" spans="1:14" ht="25.5" customHeight="1">
      <c r="A1" s="19" t="s">
        <v>208</v>
      </c>
      <c r="B1" s="19" t="s">
        <v>208</v>
      </c>
      <c r="C1" s="19" t="s">
        <v>208</v>
      </c>
      <c r="D1" s="19" t="s">
        <v>208</v>
      </c>
      <c r="E1" s="19" t="s">
        <v>208</v>
      </c>
      <c r="F1" s="19" t="s">
        <v>208</v>
      </c>
      <c r="G1" s="19" t="s">
        <v>208</v>
      </c>
      <c r="H1" s="19" t="s">
        <v>208</v>
      </c>
      <c r="I1" s="18"/>
      <c r="J1" s="18"/>
      <c r="K1" s="18"/>
      <c r="L1" s="18"/>
      <c r="M1" s="18"/>
      <c r="N1" s="18"/>
    </row>
    <row r="2" spans="1:14" ht="18" customHeight="1">
      <c r="A2" s="20" t="s">
        <v>209</v>
      </c>
      <c r="B2" s="20" t="s">
        <v>209</v>
      </c>
      <c r="C2" s="20" t="s">
        <v>209</v>
      </c>
      <c r="D2" s="20" t="s">
        <v>209</v>
      </c>
      <c r="E2" s="20" t="s">
        <v>209</v>
      </c>
      <c r="F2" s="20" t="s">
        <v>209</v>
      </c>
      <c r="G2" s="20" t="s">
        <v>209</v>
      </c>
      <c r="H2" s="20" t="s">
        <v>209</v>
      </c>
    </row>
    <row r="3" spans="1:14">
      <c r="A3" s="2"/>
      <c r="B3" s="2"/>
      <c r="C3" s="2"/>
      <c r="D3" s="2"/>
      <c r="E3" s="2"/>
      <c r="F3" s="2"/>
      <c r="G3" s="2"/>
      <c r="H3" s="2"/>
    </row>
    <row r="4" spans="1:14">
      <c r="A4" s="1" t="s">
        <v>210</v>
      </c>
      <c r="B4" s="1" t="s">
        <v>211</v>
      </c>
      <c r="C4" s="1" t="s">
        <v>47</v>
      </c>
      <c r="D4" s="1" t="s">
        <v>48</v>
      </c>
      <c r="E4" s="2"/>
      <c r="F4" s="1" t="s">
        <v>212</v>
      </c>
      <c r="G4" s="1" t="s">
        <v>213</v>
      </c>
      <c r="H4" s="1" t="s">
        <v>214</v>
      </c>
    </row>
    <row r="5" spans="1:14">
      <c r="A5" s="2" t="s">
        <v>215</v>
      </c>
      <c r="B5" s="2" t="s">
        <v>216</v>
      </c>
      <c r="C5" s="12">
        <f>Supuestos!C6*Supuestos!C8+Supuestos!C7*Supuestos!C9</f>
        <v>235</v>
      </c>
      <c r="D5" s="2" t="s">
        <v>58</v>
      </c>
      <c r="E5" s="2"/>
      <c r="F5" s="2" t="s">
        <v>217</v>
      </c>
      <c r="G5" s="2">
        <v>4</v>
      </c>
      <c r="H5" s="3">
        <f>G5*$C$5</f>
        <v>940</v>
      </c>
    </row>
    <row r="6" spans="1:14">
      <c r="A6" s="2" t="s">
        <v>218</v>
      </c>
      <c r="B6" s="2" t="s">
        <v>219</v>
      </c>
      <c r="C6" s="12">
        <f>C5*Supuestos!C10</f>
        <v>164.5</v>
      </c>
      <c r="D6" s="2" t="s">
        <v>58</v>
      </c>
      <c r="E6" s="2"/>
      <c r="F6" s="2" t="s">
        <v>220</v>
      </c>
      <c r="G6" s="2">
        <v>8</v>
      </c>
      <c r="H6" s="3">
        <f>G6*$C$5</f>
        <v>1880</v>
      </c>
    </row>
    <row r="7" spans="1:14">
      <c r="A7" s="2" t="s">
        <v>221</v>
      </c>
      <c r="B7" s="2" t="s">
        <v>222</v>
      </c>
      <c r="C7" s="12">
        <f>C5*Supuestos!C11</f>
        <v>7.05</v>
      </c>
      <c r="D7" s="2" t="s">
        <v>58</v>
      </c>
      <c r="E7" s="2"/>
      <c r="F7" s="2" t="s">
        <v>223</v>
      </c>
      <c r="G7" s="2">
        <v>12</v>
      </c>
      <c r="H7" s="3">
        <f>G7*$C$5</f>
        <v>2820</v>
      </c>
    </row>
    <row r="8" spans="1:14">
      <c r="A8" s="2" t="s">
        <v>75</v>
      </c>
      <c r="B8" s="2" t="s">
        <v>224</v>
      </c>
      <c r="C8" s="12">
        <f>Supuestos!C12</f>
        <v>5</v>
      </c>
      <c r="D8" s="2" t="s">
        <v>58</v>
      </c>
      <c r="E8" s="2"/>
      <c r="F8" s="2"/>
      <c r="G8" s="2"/>
      <c r="H8" s="2"/>
    </row>
    <row r="9" spans="1:14">
      <c r="A9" s="2" t="s">
        <v>225</v>
      </c>
      <c r="B9" s="2" t="s">
        <v>226</v>
      </c>
      <c r="C9" s="12">
        <f>C5-C6-C7-C8</f>
        <v>58.45</v>
      </c>
      <c r="D9" s="2" t="s">
        <v>58</v>
      </c>
      <c r="E9" s="2"/>
      <c r="F9" s="2"/>
      <c r="G9" s="2"/>
      <c r="H9" s="2"/>
    </row>
    <row r="10" spans="1:14">
      <c r="A10" s="2" t="s">
        <v>227</v>
      </c>
      <c r="B10" s="2" t="s">
        <v>228</v>
      </c>
      <c r="C10" s="13">
        <f>C9/C5</f>
        <v>0.24872340425531916</v>
      </c>
      <c r="D10" s="2" t="s">
        <v>88</v>
      </c>
      <c r="E10" s="2"/>
      <c r="F10" s="2"/>
      <c r="G10" s="2"/>
      <c r="H10" s="2"/>
    </row>
    <row r="11" spans="1:14">
      <c r="A11" s="2" t="s">
        <v>79</v>
      </c>
      <c r="B11" s="2" t="s">
        <v>224</v>
      </c>
      <c r="C11" s="14">
        <f>Supuestos!C13</f>
        <v>6</v>
      </c>
      <c r="D11" s="2" t="s">
        <v>80</v>
      </c>
      <c r="E11" s="2"/>
      <c r="F11" s="2"/>
      <c r="G11" s="2"/>
      <c r="H11" s="2"/>
    </row>
    <row r="12" spans="1:14">
      <c r="A12" s="2" t="s">
        <v>229</v>
      </c>
      <c r="B12" s="2" t="s">
        <v>230</v>
      </c>
      <c r="C12" s="15">
        <f>C5*C11</f>
        <v>1410</v>
      </c>
      <c r="D12" s="2" t="s">
        <v>231</v>
      </c>
      <c r="E12" s="2"/>
      <c r="F12" s="2"/>
      <c r="G12" s="2"/>
      <c r="H12" s="2"/>
    </row>
    <row r="13" spans="1:14">
      <c r="A13" s="2" t="s">
        <v>232</v>
      </c>
      <c r="B13" s="2" t="s">
        <v>233</v>
      </c>
      <c r="C13" s="15">
        <f>C9*C11</f>
        <v>350.70000000000005</v>
      </c>
      <c r="D13" s="2" t="s">
        <v>231</v>
      </c>
      <c r="E13" s="2"/>
      <c r="F13" s="2"/>
      <c r="G13" s="2"/>
      <c r="H13" s="2"/>
    </row>
    <row r="14" spans="1:14">
      <c r="A14" s="2" t="s">
        <v>234</v>
      </c>
      <c r="B14" s="2" t="s">
        <v>235</v>
      </c>
      <c r="C14" s="15">
        <f>Inversion_Costos!B23</f>
        <v>8852</v>
      </c>
      <c r="D14" s="2" t="s">
        <v>109</v>
      </c>
      <c r="E14" s="2"/>
      <c r="F14" s="2"/>
      <c r="G14" s="2"/>
      <c r="H14" s="2"/>
    </row>
    <row r="15" spans="1:14">
      <c r="A15" s="2" t="s">
        <v>236</v>
      </c>
      <c r="B15" s="2" t="s">
        <v>237</v>
      </c>
      <c r="C15" s="15">
        <f>C14/C9</f>
        <v>151.44568006843454</v>
      </c>
      <c r="D15" s="2" t="s">
        <v>80</v>
      </c>
      <c r="E15" s="2"/>
      <c r="F15" s="2"/>
      <c r="G15" s="2"/>
      <c r="H15" s="2"/>
    </row>
    <row r="16" spans="1:14">
      <c r="A16" s="2" t="s">
        <v>238</v>
      </c>
      <c r="B16" s="2" t="s">
        <v>239</v>
      </c>
      <c r="C16" s="14">
        <f>C15/C11</f>
        <v>25.240946678072422</v>
      </c>
      <c r="D16" s="2" t="s">
        <v>240</v>
      </c>
      <c r="E16" s="2"/>
      <c r="F16" s="2"/>
      <c r="G16" s="2"/>
      <c r="H16" s="2"/>
    </row>
    <row r="17" spans="1:8">
      <c r="A17" s="2" t="s">
        <v>241</v>
      </c>
      <c r="B17" s="2" t="s">
        <v>242</v>
      </c>
      <c r="C17" s="14">
        <f>1/Supuestos!C18</f>
        <v>8.3333333333333339</v>
      </c>
      <c r="D17" s="2" t="s">
        <v>243</v>
      </c>
      <c r="E17" s="2"/>
      <c r="F17" s="2"/>
      <c r="G17" s="2"/>
      <c r="H17" s="2"/>
    </row>
    <row r="18" spans="1:8">
      <c r="A18" s="2" t="s">
        <v>244</v>
      </c>
      <c r="B18" s="2" t="s">
        <v>245</v>
      </c>
      <c r="C18" s="15">
        <f>Supuestos!C17/Supuestos!C18</f>
        <v>3333.3333333333335</v>
      </c>
      <c r="D18" s="2" t="s">
        <v>246</v>
      </c>
      <c r="E18" s="2"/>
      <c r="F18" s="2"/>
      <c r="G18" s="2"/>
      <c r="H18" s="2"/>
    </row>
    <row r="19" spans="1:8">
      <c r="A19" s="2" t="s">
        <v>247</v>
      </c>
      <c r="B19" s="2" t="s">
        <v>248</v>
      </c>
      <c r="C19" s="14">
        <f>C18/C13</f>
        <v>9.504799923961599</v>
      </c>
      <c r="D19" s="2" t="s">
        <v>249</v>
      </c>
      <c r="E19" s="2"/>
      <c r="F19" s="2"/>
      <c r="G19" s="2"/>
      <c r="H19" s="2"/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"/>
  <sheetViews>
    <sheetView showGridLines="0" workbookViewId="0"/>
  </sheetViews>
  <sheetFormatPr baseColWidth="10" defaultColWidth="8.83203125" defaultRowHeight="14"/>
  <cols>
    <col min="1" max="1" width="31.33203125" customWidth="1"/>
    <col min="2" max="25" width="9.5" customWidth="1"/>
  </cols>
  <sheetData>
    <row r="1" spans="1:25" ht="25.5" customHeight="1">
      <c r="A1" s="19" t="s">
        <v>250</v>
      </c>
      <c r="B1" s="19" t="s">
        <v>250</v>
      </c>
      <c r="C1" s="19" t="s">
        <v>250</v>
      </c>
      <c r="D1" s="19" t="s">
        <v>250</v>
      </c>
      <c r="E1" s="19" t="s">
        <v>250</v>
      </c>
      <c r="F1" s="19" t="s">
        <v>250</v>
      </c>
      <c r="G1" s="19" t="s">
        <v>250</v>
      </c>
      <c r="H1" s="19" t="s">
        <v>250</v>
      </c>
      <c r="I1" s="19" t="s">
        <v>250</v>
      </c>
      <c r="J1" s="19" t="s">
        <v>250</v>
      </c>
      <c r="K1" s="19" t="s">
        <v>250</v>
      </c>
      <c r="L1" s="19" t="s">
        <v>250</v>
      </c>
      <c r="M1" s="19" t="s">
        <v>250</v>
      </c>
      <c r="N1" s="19" t="s">
        <v>250</v>
      </c>
      <c r="O1" s="21" t="s">
        <v>250</v>
      </c>
      <c r="P1" s="21" t="s">
        <v>250</v>
      </c>
      <c r="Q1" s="21" t="s">
        <v>250</v>
      </c>
      <c r="R1" s="21" t="s">
        <v>250</v>
      </c>
      <c r="S1" s="21" t="s">
        <v>250</v>
      </c>
      <c r="T1" s="21" t="s">
        <v>250</v>
      </c>
      <c r="U1" s="21" t="s">
        <v>250</v>
      </c>
      <c r="V1" s="21" t="s">
        <v>250</v>
      </c>
      <c r="W1" s="21" t="s">
        <v>250</v>
      </c>
      <c r="X1" s="21" t="s">
        <v>250</v>
      </c>
      <c r="Y1" s="21" t="s">
        <v>250</v>
      </c>
    </row>
    <row r="2" spans="1:25" ht="18" customHeight="1">
      <c r="A2" s="20" t="s">
        <v>251</v>
      </c>
      <c r="B2" s="20" t="s">
        <v>251</v>
      </c>
      <c r="C2" s="20" t="s">
        <v>251</v>
      </c>
      <c r="D2" s="20" t="s">
        <v>251</v>
      </c>
      <c r="E2" s="20" t="s">
        <v>251</v>
      </c>
      <c r="F2" s="20" t="s">
        <v>251</v>
      </c>
      <c r="G2" s="20" t="s">
        <v>251</v>
      </c>
      <c r="H2" s="20" t="s">
        <v>251</v>
      </c>
      <c r="I2" s="20" t="s">
        <v>251</v>
      </c>
      <c r="J2" s="20" t="s">
        <v>251</v>
      </c>
      <c r="K2" s="20" t="s">
        <v>251</v>
      </c>
      <c r="L2" s="20" t="s">
        <v>251</v>
      </c>
      <c r="M2" s="20" t="s">
        <v>251</v>
      </c>
      <c r="N2" s="20" t="s">
        <v>251</v>
      </c>
      <c r="O2" s="20" t="s">
        <v>251</v>
      </c>
      <c r="P2" s="20" t="s">
        <v>251</v>
      </c>
      <c r="Q2" s="20" t="s">
        <v>251</v>
      </c>
      <c r="R2" s="20" t="s">
        <v>251</v>
      </c>
      <c r="S2" s="20" t="s">
        <v>251</v>
      </c>
      <c r="T2" s="20" t="s">
        <v>251</v>
      </c>
      <c r="U2" s="20" t="s">
        <v>251</v>
      </c>
      <c r="V2" s="20" t="s">
        <v>251</v>
      </c>
      <c r="W2" s="20" t="s">
        <v>251</v>
      </c>
      <c r="X2" s="20" t="s">
        <v>251</v>
      </c>
      <c r="Y2" s="20" t="s">
        <v>251</v>
      </c>
    </row>
    <row r="3" spans="1: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>
      <c r="A4" s="1" t="s">
        <v>210</v>
      </c>
      <c r="B4" s="1" t="s">
        <v>252</v>
      </c>
      <c r="C4" s="1" t="s">
        <v>253</v>
      </c>
      <c r="D4" s="1" t="s">
        <v>254</v>
      </c>
      <c r="E4" s="1" t="s">
        <v>255</v>
      </c>
      <c r="F4" s="1" t="s">
        <v>256</v>
      </c>
      <c r="G4" s="1" t="s">
        <v>257</v>
      </c>
      <c r="H4" s="1" t="s">
        <v>258</v>
      </c>
      <c r="I4" s="1" t="s">
        <v>259</v>
      </c>
      <c r="J4" s="1" t="s">
        <v>260</v>
      </c>
      <c r="K4" s="1" t="s">
        <v>261</v>
      </c>
      <c r="L4" s="1" t="s">
        <v>262</v>
      </c>
      <c r="M4" s="1" t="s">
        <v>263</v>
      </c>
      <c r="N4" s="1" t="s">
        <v>264</v>
      </c>
      <c r="O4" s="1" t="s">
        <v>265</v>
      </c>
      <c r="P4" s="1" t="s">
        <v>266</v>
      </c>
      <c r="Q4" s="1" t="s">
        <v>267</v>
      </c>
      <c r="R4" s="1" t="s">
        <v>268</v>
      </c>
      <c r="S4" s="1" t="s">
        <v>269</v>
      </c>
      <c r="T4" s="1" t="s">
        <v>270</v>
      </c>
      <c r="U4" s="1" t="s">
        <v>271</v>
      </c>
      <c r="V4" s="1" t="s">
        <v>272</v>
      </c>
      <c r="W4" s="1" t="s">
        <v>273</v>
      </c>
      <c r="X4" s="1" t="s">
        <v>274</v>
      </c>
      <c r="Y4" s="1" t="s">
        <v>275</v>
      </c>
    </row>
    <row r="5" spans="1:25">
      <c r="A5" s="2" t="s">
        <v>276</v>
      </c>
      <c r="B5" s="16">
        <f>Supuestos!C14</f>
        <v>8</v>
      </c>
      <c r="C5" s="16">
        <f>B5*(1+Supuestos!C15)</f>
        <v>8.8000000000000007</v>
      </c>
      <c r="D5" s="16">
        <f>C5*(1+Supuestos!C15)</f>
        <v>9.6800000000000015</v>
      </c>
      <c r="E5" s="16">
        <f>D5*(1+Supuestos!C15)</f>
        <v>10.648000000000003</v>
      </c>
      <c r="F5" s="16">
        <f>E5*(1+Supuestos!C15)</f>
        <v>11.712800000000005</v>
      </c>
      <c r="G5" s="16">
        <f>F5*(1+Supuestos!C15)</f>
        <v>12.884080000000006</v>
      </c>
      <c r="H5" s="16">
        <f>G5*(1+Supuestos!C15)</f>
        <v>14.172488000000008</v>
      </c>
      <c r="I5" s="16">
        <f>H5*(1+Supuestos!C15)</f>
        <v>15.589736800000011</v>
      </c>
      <c r="J5" s="16">
        <f>I5*(1+Supuestos!C15)</f>
        <v>17.148710480000013</v>
      </c>
      <c r="K5" s="16">
        <f>J5*(1+Supuestos!C15)</f>
        <v>18.863581528000015</v>
      </c>
      <c r="L5" s="16">
        <f>K5*(1+Supuestos!C15)</f>
        <v>20.749939680800018</v>
      </c>
      <c r="M5" s="16">
        <f>L5*(1+Supuestos!C15)</f>
        <v>22.824933648880023</v>
      </c>
      <c r="N5" s="16">
        <f>M5*(1+Supuestos!C15)</f>
        <v>25.107427013768028</v>
      </c>
      <c r="O5" s="16">
        <f>N5*(1+Supuestos!C15)</f>
        <v>27.618169715144834</v>
      </c>
      <c r="P5" s="16">
        <f>O5*(1+Supuestos!C15)</f>
        <v>30.379986686659318</v>
      </c>
      <c r="Q5" s="16">
        <f>P5*(1+Supuestos!C15)</f>
        <v>33.41798535532525</v>
      </c>
      <c r="R5" s="16">
        <f>Q5*(1+Supuestos!C15)</f>
        <v>36.759783890857776</v>
      </c>
      <c r="S5" s="16">
        <f>R5*(1+Supuestos!C15)</f>
        <v>40.435762279943553</v>
      </c>
      <c r="T5" s="16">
        <f>S5*(1+Supuestos!C15)</f>
        <v>44.479338507937911</v>
      </c>
      <c r="U5" s="16">
        <f>T5*(1+Supuestos!C15)</f>
        <v>48.927272358731706</v>
      </c>
      <c r="V5" s="16">
        <f>U5*(1+Supuestos!C15)</f>
        <v>53.81999959460488</v>
      </c>
      <c r="W5" s="16">
        <f>V5*(1+Supuestos!C15)</f>
        <v>59.201999554065374</v>
      </c>
      <c r="X5" s="16">
        <f>W5*(1+Supuestos!C15)</f>
        <v>65.122199509471912</v>
      </c>
      <c r="Y5" s="16">
        <f>X5*(1+Supuestos!C15)</f>
        <v>71.63441946041911</v>
      </c>
    </row>
    <row r="6" spans="1:25">
      <c r="A6" s="2" t="s">
        <v>277</v>
      </c>
      <c r="B6" s="16">
        <f>B5</f>
        <v>8</v>
      </c>
      <c r="C6" s="16">
        <f>B6*(1-Supuestos!C16)+C5</f>
        <v>16.16</v>
      </c>
      <c r="D6" s="16">
        <f>C6*(1-Supuestos!C16)+D5</f>
        <v>24.547200000000004</v>
      </c>
      <c r="E6" s="16">
        <f>D6*(1-Supuestos!C16)+E5</f>
        <v>33.231424000000004</v>
      </c>
      <c r="F6" s="16">
        <f>E6*(1-Supuestos!C16)+F5</f>
        <v>42.285710080000008</v>
      </c>
      <c r="G6" s="16">
        <f>F6*(1-Supuestos!C16)+G5</f>
        <v>51.786933273600013</v>
      </c>
      <c r="H6" s="16">
        <f>G6*(1-Supuestos!C16)+H5</f>
        <v>61.816466611712023</v>
      </c>
      <c r="I6" s="16">
        <f>H6*(1-Supuestos!C16)+I5</f>
        <v>72.460886082775076</v>
      </c>
      <c r="J6" s="16">
        <f>I6*(1-Supuestos!C16)+J5</f>
        <v>83.812725676153093</v>
      </c>
      <c r="K6" s="16">
        <f>J6*(1-Supuestos!C16)+K5</f>
        <v>95.971289150060855</v>
      </c>
      <c r="L6" s="16">
        <f>K6*(1-Supuestos!C16)+L5</f>
        <v>109.043525698856</v>
      </c>
      <c r="M6" s="16">
        <f>L6*(1-Supuestos!C16)+M5</f>
        <v>123.14497729182754</v>
      </c>
      <c r="N6" s="16">
        <f>M6*(1-Supuestos!C16)+N5</f>
        <v>138.40080612224938</v>
      </c>
      <c r="O6" s="16">
        <f>N6*(1-Supuestos!C16)+O5</f>
        <v>154.94691134761428</v>
      </c>
      <c r="P6" s="16">
        <f>O6*(1-Supuestos!C16)+P5</f>
        <v>172.93114512646446</v>
      </c>
      <c r="Q6" s="16">
        <f>P6*(1-Supuestos!C16)+Q5</f>
        <v>192.51463887167256</v>
      </c>
      <c r="R6" s="16">
        <f>Q6*(1-Supuestos!C16)+R5</f>
        <v>213.87325165279651</v>
      </c>
      <c r="S6" s="16">
        <f>R6*(1-Supuestos!C16)+S5</f>
        <v>237.19915380051637</v>
      </c>
      <c r="T6" s="16">
        <f>S6*(1-Supuestos!C16)+T5</f>
        <v>262.70256000441299</v>
      </c>
      <c r="U6" s="16">
        <f>T6*(1-Supuestos!C16)+U5</f>
        <v>290.61362756279169</v>
      </c>
      <c r="V6" s="16">
        <f>U6*(1-Supuestos!C16)+V5</f>
        <v>321.18453695237326</v>
      </c>
      <c r="W6" s="16">
        <f>V6*(1-Supuestos!C16)+W5</f>
        <v>354.6917735502488</v>
      </c>
      <c r="X6" s="16">
        <f>W6*(1-Supuestos!C16)+X5</f>
        <v>391.43863117570078</v>
      </c>
      <c r="Y6" s="16">
        <f>X6*(1-Supuestos!C16)+Y5</f>
        <v>431.75796014206384</v>
      </c>
    </row>
    <row r="7" spans="1:25">
      <c r="A7" s="2" t="s">
        <v>278</v>
      </c>
      <c r="B7" s="16">
        <f>B6*Supuestos!C13</f>
        <v>48</v>
      </c>
      <c r="C7" s="16">
        <f>C6*Supuestos!C13</f>
        <v>96.960000000000008</v>
      </c>
      <c r="D7" s="16">
        <f>D6*Supuestos!C13</f>
        <v>147.28320000000002</v>
      </c>
      <c r="E7" s="16">
        <f>E6*Supuestos!C13</f>
        <v>199.38854400000002</v>
      </c>
      <c r="F7" s="16">
        <f>F6*Supuestos!C13</f>
        <v>253.71426048000006</v>
      </c>
      <c r="G7" s="16">
        <f>G6*Supuestos!C13</f>
        <v>310.72159964160005</v>
      </c>
      <c r="H7" s="16">
        <f>H6*Supuestos!C13</f>
        <v>370.89879967027213</v>
      </c>
      <c r="I7" s="16">
        <f>I6*Supuestos!C13</f>
        <v>434.76531649665048</v>
      </c>
      <c r="J7" s="16">
        <f>J6*Supuestos!C13</f>
        <v>502.87635405691856</v>
      </c>
      <c r="K7" s="16">
        <f>K6*Supuestos!C13</f>
        <v>575.82773490036516</v>
      </c>
      <c r="L7" s="16">
        <f>L6*Supuestos!C13</f>
        <v>654.26115419313601</v>
      </c>
      <c r="M7" s="16">
        <f>M6*Supuestos!C13</f>
        <v>738.86986375096524</v>
      </c>
      <c r="N7" s="16">
        <f>N6*Supuestos!C13</f>
        <v>830.40483673349627</v>
      </c>
      <c r="O7" s="16">
        <f>O6*Supuestos!C13</f>
        <v>929.68146808568565</v>
      </c>
      <c r="P7" s="16">
        <f>P6*Supuestos!C13</f>
        <v>1037.5868707587867</v>
      </c>
      <c r="Q7" s="16">
        <f>Q6*Supuestos!C13</f>
        <v>1155.0878332300354</v>
      </c>
      <c r="R7" s="16">
        <f>R6*Supuestos!C13</f>
        <v>1283.2395099167791</v>
      </c>
      <c r="S7" s="16">
        <f>S6*Supuestos!C13</f>
        <v>1423.1949228030983</v>
      </c>
      <c r="T7" s="16">
        <f>T6*Supuestos!C13</f>
        <v>1576.2153600264778</v>
      </c>
      <c r="U7" s="16">
        <f>U6*Supuestos!C13</f>
        <v>1743.6817653767503</v>
      </c>
      <c r="V7" s="16">
        <f>V6*Supuestos!C13</f>
        <v>1927.1072217142396</v>
      </c>
      <c r="W7" s="16">
        <f>W6*Supuestos!C13</f>
        <v>2128.1506413014927</v>
      </c>
      <c r="X7" s="16">
        <f>X6*Supuestos!C13</f>
        <v>2348.6317870542048</v>
      </c>
      <c r="Y7" s="16">
        <f>Y6*Supuestos!C13</f>
        <v>2590.5477608523829</v>
      </c>
    </row>
    <row r="8" spans="1:25">
      <c r="A8" s="2" t="s">
        <v>215</v>
      </c>
      <c r="B8" s="3">
        <f>Unit_Economics!C5</f>
        <v>235</v>
      </c>
      <c r="C8" s="3">
        <f>Unit_Economics!C5</f>
        <v>235</v>
      </c>
      <c r="D8" s="3">
        <f>Unit_Economics!C5</f>
        <v>235</v>
      </c>
      <c r="E8" s="3">
        <f>Unit_Economics!C5</f>
        <v>235</v>
      </c>
      <c r="F8" s="3">
        <f>Unit_Economics!C5</f>
        <v>235</v>
      </c>
      <c r="G8" s="3">
        <f>Unit_Economics!C5</f>
        <v>235</v>
      </c>
      <c r="H8" s="3">
        <f>Unit_Economics!C5</f>
        <v>235</v>
      </c>
      <c r="I8" s="3">
        <f>Unit_Economics!C5</f>
        <v>235</v>
      </c>
      <c r="J8" s="3">
        <f>Unit_Economics!C5</f>
        <v>235</v>
      </c>
      <c r="K8" s="3">
        <f>Unit_Economics!C5</f>
        <v>235</v>
      </c>
      <c r="L8" s="3">
        <f>Unit_Economics!C5</f>
        <v>235</v>
      </c>
      <c r="M8" s="3">
        <f>Unit_Economics!C5</f>
        <v>235</v>
      </c>
      <c r="N8" s="3">
        <f>Unit_Economics!C5</f>
        <v>235</v>
      </c>
      <c r="O8" s="3">
        <f>Unit_Economics!C5</f>
        <v>235</v>
      </c>
      <c r="P8" s="3">
        <f>Unit_Economics!C5</f>
        <v>235</v>
      </c>
      <c r="Q8" s="3">
        <f>Unit_Economics!C5</f>
        <v>235</v>
      </c>
      <c r="R8" s="3">
        <f>Unit_Economics!C5</f>
        <v>235</v>
      </c>
      <c r="S8" s="3">
        <f>Unit_Economics!C5</f>
        <v>235</v>
      </c>
      <c r="T8" s="3">
        <f>Unit_Economics!C5</f>
        <v>235</v>
      </c>
      <c r="U8" s="3">
        <f>Unit_Economics!C5</f>
        <v>235</v>
      </c>
      <c r="V8" s="3">
        <f>Unit_Economics!C5</f>
        <v>235</v>
      </c>
      <c r="W8" s="3">
        <f>Unit_Economics!C5</f>
        <v>235</v>
      </c>
      <c r="X8" s="3">
        <f>Unit_Economics!C5</f>
        <v>235</v>
      </c>
      <c r="Y8" s="3">
        <f>Unit_Economics!C5</f>
        <v>235</v>
      </c>
    </row>
    <row r="9" spans="1:25">
      <c r="A9" s="2" t="s">
        <v>7</v>
      </c>
      <c r="B9" s="3">
        <f t="shared" ref="B9:Y9" si="0">B7*B8</f>
        <v>11280</v>
      </c>
      <c r="C9" s="3">
        <f t="shared" si="0"/>
        <v>22785.600000000002</v>
      </c>
      <c r="D9" s="3">
        <f t="shared" si="0"/>
        <v>34611.552000000003</v>
      </c>
      <c r="E9" s="3">
        <f t="shared" si="0"/>
        <v>46856.307840000009</v>
      </c>
      <c r="F9" s="3">
        <f t="shared" si="0"/>
        <v>59622.851212800015</v>
      </c>
      <c r="G9" s="3">
        <f t="shared" si="0"/>
        <v>73019.575915776019</v>
      </c>
      <c r="H9" s="3">
        <f t="shared" si="0"/>
        <v>87161.217922513955</v>
      </c>
      <c r="I9" s="3">
        <f t="shared" si="0"/>
        <v>102169.84937671287</v>
      </c>
      <c r="J9" s="3">
        <f t="shared" si="0"/>
        <v>118175.94320337586</v>
      </c>
      <c r="K9" s="3">
        <f t="shared" si="0"/>
        <v>135319.51770158581</v>
      </c>
      <c r="L9" s="3">
        <f t="shared" si="0"/>
        <v>153751.37123538696</v>
      </c>
      <c r="M9" s="3">
        <f t="shared" si="0"/>
        <v>173634.41798147684</v>
      </c>
      <c r="N9" s="3">
        <f t="shared" si="0"/>
        <v>195145.13663237164</v>
      </c>
      <c r="O9" s="3">
        <f t="shared" si="0"/>
        <v>218475.14500013614</v>
      </c>
      <c r="P9" s="3">
        <f t="shared" si="0"/>
        <v>243832.91462831487</v>
      </c>
      <c r="Q9" s="3">
        <f t="shared" si="0"/>
        <v>271445.64080905833</v>
      </c>
      <c r="R9" s="3">
        <f t="shared" si="0"/>
        <v>301561.2848304431</v>
      </c>
      <c r="S9" s="3">
        <f t="shared" si="0"/>
        <v>334450.80685872812</v>
      </c>
      <c r="T9" s="3">
        <f t="shared" si="0"/>
        <v>370410.60960622231</v>
      </c>
      <c r="U9" s="3">
        <f t="shared" si="0"/>
        <v>409765.2148635363</v>
      </c>
      <c r="V9" s="3">
        <f t="shared" si="0"/>
        <v>452870.19710284629</v>
      </c>
      <c r="W9" s="3">
        <f t="shared" si="0"/>
        <v>500115.4007058508</v>
      </c>
      <c r="X9" s="3">
        <f t="shared" si="0"/>
        <v>551928.46995773807</v>
      </c>
      <c r="Y9" s="3">
        <f t="shared" si="0"/>
        <v>608778.72380030993</v>
      </c>
    </row>
    <row r="10" spans="1:25">
      <c r="A10" s="2" t="s">
        <v>69</v>
      </c>
      <c r="B10" s="3">
        <f>B9*Supuestos!C10</f>
        <v>7895.9999999999991</v>
      </c>
      <c r="C10" s="3">
        <f>C9*Supuestos!C10</f>
        <v>15949.92</v>
      </c>
      <c r="D10" s="3">
        <f>D9*Supuestos!C10</f>
        <v>24228.0864</v>
      </c>
      <c r="E10" s="3">
        <f>E9*Supuestos!C10</f>
        <v>32799.415488000006</v>
      </c>
      <c r="F10" s="3">
        <f>F9*Supuestos!C10</f>
        <v>41735.99584896001</v>
      </c>
      <c r="G10" s="3">
        <f>G9*Supuestos!C10</f>
        <v>51113.70314104321</v>
      </c>
      <c r="H10" s="3">
        <f>H9*Supuestos!C10</f>
        <v>61012.852545759764</v>
      </c>
      <c r="I10" s="3">
        <f>I9*Supuestos!C10</f>
        <v>71518.894563698996</v>
      </c>
      <c r="J10" s="3">
        <f>J9*Supuestos!C10</f>
        <v>82723.160242363097</v>
      </c>
      <c r="K10" s="3">
        <f>K9*Supuestos!C10</f>
        <v>94723.662391110061</v>
      </c>
      <c r="L10" s="3">
        <f>L9*Supuestos!C10</f>
        <v>107625.95986477086</v>
      </c>
      <c r="M10" s="3">
        <f>M9*Supuestos!C10</f>
        <v>121544.09258703378</v>
      </c>
      <c r="N10" s="3">
        <f>N9*Supuestos!C10</f>
        <v>136601.59564266013</v>
      </c>
      <c r="O10" s="3">
        <f>O9*Supuestos!C10</f>
        <v>152932.60150009528</v>
      </c>
      <c r="P10" s="3">
        <f>P9*Supuestos!C10</f>
        <v>170683.0402398204</v>
      </c>
      <c r="Q10" s="3">
        <f>Q9*Supuestos!C10</f>
        <v>190011.94856634081</v>
      </c>
      <c r="R10" s="3">
        <f>R9*Supuestos!C10</f>
        <v>211092.89938131016</v>
      </c>
      <c r="S10" s="3">
        <f>S9*Supuestos!C10</f>
        <v>234115.56480110966</v>
      </c>
      <c r="T10" s="3">
        <f>T9*Supuestos!C10</f>
        <v>259287.42672435561</v>
      </c>
      <c r="U10" s="3">
        <f>U9*Supuestos!C10</f>
        <v>286835.6504044754</v>
      </c>
      <c r="V10" s="3">
        <f>V9*Supuestos!C10</f>
        <v>317009.13797199237</v>
      </c>
      <c r="W10" s="3">
        <f>W9*Supuestos!C10</f>
        <v>350080.78049409552</v>
      </c>
      <c r="X10" s="3">
        <f>X9*Supuestos!C10</f>
        <v>386349.9289704166</v>
      </c>
      <c r="Y10" s="3">
        <f>Y9*Supuestos!C10</f>
        <v>426145.10666021693</v>
      </c>
    </row>
    <row r="11" spans="1:25">
      <c r="A11" s="2" t="s">
        <v>279</v>
      </c>
      <c r="B11" s="3">
        <f>B9*Supuestos!C11</f>
        <v>338.4</v>
      </c>
      <c r="C11" s="3">
        <f>C9*Supuestos!C11</f>
        <v>683.56799999999998</v>
      </c>
      <c r="D11" s="3">
        <f>D9*Supuestos!C11</f>
        <v>1038.34656</v>
      </c>
      <c r="E11" s="3">
        <f>E9*Supuestos!C11</f>
        <v>1405.6892352000002</v>
      </c>
      <c r="F11" s="3">
        <f>F9*Supuestos!C11</f>
        <v>1788.6855363840004</v>
      </c>
      <c r="G11" s="3">
        <f>G9*Supuestos!C11</f>
        <v>2190.5872774732807</v>
      </c>
      <c r="H11" s="3">
        <f>H9*Supuestos!C11</f>
        <v>2614.8365376754186</v>
      </c>
      <c r="I11" s="3">
        <f>I9*Supuestos!C11</f>
        <v>3065.0954813013859</v>
      </c>
      <c r="J11" s="3">
        <f>J9*Supuestos!C11</f>
        <v>3545.2782961012758</v>
      </c>
      <c r="K11" s="3">
        <f>K9*Supuestos!C11</f>
        <v>4059.585531047574</v>
      </c>
      <c r="L11" s="3">
        <f>L9*Supuestos!C11</f>
        <v>4612.5411370616084</v>
      </c>
      <c r="M11" s="3">
        <f>M9*Supuestos!C11</f>
        <v>5209.0325394443053</v>
      </c>
      <c r="N11" s="3">
        <f>N9*Supuestos!C11</f>
        <v>5854.3540989711491</v>
      </c>
      <c r="O11" s="3">
        <f>O9*Supuestos!C11</f>
        <v>6554.2543500040838</v>
      </c>
      <c r="P11" s="3">
        <f>P9*Supuestos!C11</f>
        <v>7314.9874388494463</v>
      </c>
      <c r="Q11" s="3">
        <f>Q9*Supuestos!C11</f>
        <v>8143.3692242717498</v>
      </c>
      <c r="R11" s="3">
        <f>R9*Supuestos!C11</f>
        <v>9046.8385449132929</v>
      </c>
      <c r="S11" s="3">
        <f>S9*Supuestos!C11</f>
        <v>10033.524205761843</v>
      </c>
      <c r="T11" s="3">
        <f>T9*Supuestos!C11</f>
        <v>11112.318288186669</v>
      </c>
      <c r="U11" s="3">
        <f>U9*Supuestos!C11</f>
        <v>12292.956445906089</v>
      </c>
      <c r="V11" s="3">
        <f>V9*Supuestos!C11</f>
        <v>13586.105913085388</v>
      </c>
      <c r="W11" s="3">
        <f>W9*Supuestos!C11</f>
        <v>15003.462021175523</v>
      </c>
      <c r="X11" s="3">
        <f>X9*Supuestos!C11</f>
        <v>16557.854098732143</v>
      </c>
      <c r="Y11" s="3">
        <f>Y9*Supuestos!C11</f>
        <v>18263.361714009297</v>
      </c>
    </row>
    <row r="12" spans="1:25">
      <c r="A12" s="2" t="s">
        <v>280</v>
      </c>
      <c r="B12" s="3">
        <f>B7*Supuestos!C12</f>
        <v>240</v>
      </c>
      <c r="C12" s="3">
        <f>C7*Supuestos!C12</f>
        <v>484.80000000000007</v>
      </c>
      <c r="D12" s="3">
        <f>D7*Supuestos!C12</f>
        <v>736.41600000000017</v>
      </c>
      <c r="E12" s="3">
        <f>E7*Supuestos!C12</f>
        <v>996.94272000000012</v>
      </c>
      <c r="F12" s="3">
        <f>F7*Supuestos!C12</f>
        <v>1268.5713024000004</v>
      </c>
      <c r="G12" s="3">
        <f>G7*Supuestos!C12</f>
        <v>1553.6079982080003</v>
      </c>
      <c r="H12" s="3">
        <f>H7*Supuestos!C12</f>
        <v>1854.4939983513607</v>
      </c>
      <c r="I12" s="3">
        <f>I7*Supuestos!C12</f>
        <v>2173.8265824832524</v>
      </c>
      <c r="J12" s="3">
        <f>J7*Supuestos!C12</f>
        <v>2514.3817702845927</v>
      </c>
      <c r="K12" s="3">
        <f>K7*Supuestos!C12</f>
        <v>2879.1386745018258</v>
      </c>
      <c r="L12" s="3">
        <f>L7*Supuestos!C12</f>
        <v>3271.30577096568</v>
      </c>
      <c r="M12" s="3">
        <f>M7*Supuestos!C12</f>
        <v>3694.3493187548261</v>
      </c>
      <c r="N12" s="3">
        <f>N7*Supuestos!C12</f>
        <v>4152.0241836674813</v>
      </c>
      <c r="O12" s="3">
        <f>O7*Supuestos!C12</f>
        <v>4648.4073404284281</v>
      </c>
      <c r="P12" s="3">
        <f>P7*Supuestos!C12</f>
        <v>5187.934353793934</v>
      </c>
      <c r="Q12" s="3">
        <f>Q7*Supuestos!C12</f>
        <v>5775.4391661501768</v>
      </c>
      <c r="R12" s="3">
        <f>R7*Supuestos!C12</f>
        <v>6416.1975495838951</v>
      </c>
      <c r="S12" s="3">
        <f>S7*Supuestos!C12</f>
        <v>7115.9746140154912</v>
      </c>
      <c r="T12" s="3">
        <f>T7*Supuestos!C12</f>
        <v>7881.0768001323886</v>
      </c>
      <c r="U12" s="3">
        <f>U7*Supuestos!C12</f>
        <v>8718.4088268837513</v>
      </c>
      <c r="V12" s="3">
        <f>V7*Supuestos!C12</f>
        <v>9635.5361085711975</v>
      </c>
      <c r="W12" s="3">
        <f>W7*Supuestos!C12</f>
        <v>10640.753206507463</v>
      </c>
      <c r="X12" s="3">
        <f>X7*Supuestos!C12</f>
        <v>11743.158935271023</v>
      </c>
      <c r="Y12" s="3">
        <f>Y7*Supuestos!C12</f>
        <v>12952.738804261915</v>
      </c>
    </row>
    <row r="13" spans="1:25">
      <c r="A13" s="2" t="s">
        <v>281</v>
      </c>
      <c r="B13" s="3">
        <f t="shared" ref="B13:Y13" si="1">B9-B10-B11-B12</f>
        <v>2805.6000000000008</v>
      </c>
      <c r="C13" s="3">
        <f t="shared" si="1"/>
        <v>5667.3120000000017</v>
      </c>
      <c r="D13" s="3">
        <f t="shared" si="1"/>
        <v>8608.703040000004</v>
      </c>
      <c r="E13" s="3">
        <f t="shared" si="1"/>
        <v>11654.260396800002</v>
      </c>
      <c r="F13" s="3">
        <f t="shared" si="1"/>
        <v>14829.598525056004</v>
      </c>
      <c r="G13" s="3">
        <f t="shared" si="1"/>
        <v>18161.677499051526</v>
      </c>
      <c r="H13" s="3">
        <f t="shared" si="1"/>
        <v>21679.03484072741</v>
      </c>
      <c r="I13" s="3">
        <f t="shared" si="1"/>
        <v>25412.032749229234</v>
      </c>
      <c r="J13" s="3">
        <f t="shared" si="1"/>
        <v>29393.1228946269</v>
      </c>
      <c r="K13" s="3">
        <f t="shared" si="1"/>
        <v>33657.131104926346</v>
      </c>
      <c r="L13" s="3">
        <f t="shared" si="1"/>
        <v>38241.564462588816</v>
      </c>
      <c r="M13" s="3">
        <f t="shared" si="1"/>
        <v>43186.943536243933</v>
      </c>
      <c r="N13" s="3">
        <f t="shared" si="1"/>
        <v>48537.162707072872</v>
      </c>
      <c r="O13" s="3">
        <f t="shared" si="1"/>
        <v>54339.881809608349</v>
      </c>
      <c r="P13" s="3">
        <f t="shared" si="1"/>
        <v>60646.952595851086</v>
      </c>
      <c r="Q13" s="3">
        <f t="shared" si="1"/>
        <v>67514.883852295592</v>
      </c>
      <c r="R13" s="3">
        <f t="shared" si="1"/>
        <v>75005.349354635749</v>
      </c>
      <c r="S13" s="3">
        <f t="shared" si="1"/>
        <v>83185.743237841118</v>
      </c>
      <c r="T13" s="3">
        <f t="shared" si="1"/>
        <v>92129.787793547643</v>
      </c>
      <c r="U13" s="3">
        <f t="shared" si="1"/>
        <v>101918.19918627106</v>
      </c>
      <c r="V13" s="3">
        <f t="shared" si="1"/>
        <v>112639.41710919734</v>
      </c>
      <c r="W13" s="3">
        <f t="shared" si="1"/>
        <v>124390.4049840723</v>
      </c>
      <c r="X13" s="3">
        <f t="shared" si="1"/>
        <v>137277.52795331829</v>
      </c>
      <c r="Y13" s="3">
        <f t="shared" si="1"/>
        <v>151417.51662182176</v>
      </c>
    </row>
    <row r="14" spans="1:25">
      <c r="A14" s="2" t="s">
        <v>282</v>
      </c>
      <c r="B14" s="6">
        <f t="shared" ref="B14:Y14" si="2">IFERROR(B13/B9,0)</f>
        <v>0.24872340425531922</v>
      </c>
      <c r="C14" s="6">
        <f t="shared" si="2"/>
        <v>0.24872340425531919</v>
      </c>
      <c r="D14" s="6">
        <f t="shared" si="2"/>
        <v>0.24872340425531925</v>
      </c>
      <c r="E14" s="6">
        <f t="shared" si="2"/>
        <v>0.24872340425531914</v>
      </c>
      <c r="F14" s="6">
        <f t="shared" si="2"/>
        <v>0.24872340425531916</v>
      </c>
      <c r="G14" s="6">
        <f t="shared" si="2"/>
        <v>0.24872340425531916</v>
      </c>
      <c r="H14" s="6">
        <f t="shared" si="2"/>
        <v>0.24872340425531919</v>
      </c>
      <c r="I14" s="6">
        <f t="shared" si="2"/>
        <v>0.24872340425531927</v>
      </c>
      <c r="J14" s="6">
        <f t="shared" si="2"/>
        <v>0.24872340425531922</v>
      </c>
      <c r="K14" s="6">
        <f t="shared" si="2"/>
        <v>0.24872340425531916</v>
      </c>
      <c r="L14" s="6">
        <f t="shared" si="2"/>
        <v>0.24872340425531925</v>
      </c>
      <c r="M14" s="6">
        <f t="shared" si="2"/>
        <v>0.24872340425531922</v>
      </c>
      <c r="N14" s="6">
        <f t="shared" si="2"/>
        <v>0.24872340425531922</v>
      </c>
      <c r="O14" s="6">
        <f t="shared" si="2"/>
        <v>0.24872340425531925</v>
      </c>
      <c r="P14" s="6">
        <f t="shared" si="2"/>
        <v>0.24872340425531916</v>
      </c>
      <c r="Q14" s="6">
        <f t="shared" si="2"/>
        <v>0.24872340425531922</v>
      </c>
      <c r="R14" s="6">
        <f t="shared" si="2"/>
        <v>0.24872340425531919</v>
      </c>
      <c r="S14" s="6">
        <f t="shared" si="2"/>
        <v>0.24872340425531919</v>
      </c>
      <c r="T14" s="6">
        <f t="shared" si="2"/>
        <v>0.24872340425531916</v>
      </c>
      <c r="U14" s="6">
        <f t="shared" si="2"/>
        <v>0.24872340425531916</v>
      </c>
      <c r="V14" s="6">
        <f t="shared" si="2"/>
        <v>0.24872340425531925</v>
      </c>
      <c r="W14" s="6">
        <f t="shared" si="2"/>
        <v>0.24872340425531925</v>
      </c>
      <c r="X14" s="6">
        <f t="shared" si="2"/>
        <v>0.24872340425531922</v>
      </c>
      <c r="Y14" s="6">
        <f t="shared" si="2"/>
        <v>0.24872340425531914</v>
      </c>
    </row>
    <row r="15" spans="1:25">
      <c r="A15" s="2" t="s">
        <v>40</v>
      </c>
      <c r="B15" s="3">
        <f>Supuestos!C17*Supuestos!C5*(1+Supuestos!C18)^INT(0/6)</f>
        <v>3052</v>
      </c>
      <c r="C15" s="3">
        <f>Supuestos!C17*Supuestos!C5*(1+Supuestos!C18)^INT(1/6)</f>
        <v>3052</v>
      </c>
      <c r="D15" s="3">
        <f>Supuestos!C17*Supuestos!C5*(1+Supuestos!C18)^INT(2/6)</f>
        <v>3052</v>
      </c>
      <c r="E15" s="3">
        <f>Supuestos!C17*Supuestos!C5*(1+Supuestos!C18)^INT(3/6)</f>
        <v>3052</v>
      </c>
      <c r="F15" s="3">
        <f>Supuestos!C17*Supuestos!C5*(1+Supuestos!C18)^INT(4/6)</f>
        <v>3052</v>
      </c>
      <c r="G15" s="3">
        <f>Supuestos!C17*Supuestos!C5*(1+Supuestos!C18)^INT(5/6)</f>
        <v>3052</v>
      </c>
      <c r="H15" s="3">
        <f>Supuestos!C17*Supuestos!C5*(1+Supuestos!C18)^INT(6/6)</f>
        <v>3418.2400000000002</v>
      </c>
      <c r="I15" s="3">
        <f>Supuestos!C17*Supuestos!C5*(1+Supuestos!C18)^INT(7/6)</f>
        <v>3418.2400000000002</v>
      </c>
      <c r="J15" s="3">
        <f>Supuestos!C17*Supuestos!C5*(1+Supuestos!C18)^INT(8/6)</f>
        <v>3418.2400000000002</v>
      </c>
      <c r="K15" s="3">
        <f>Supuestos!C17*Supuestos!C5*(1+Supuestos!C18)^INT(9/6)</f>
        <v>3418.2400000000002</v>
      </c>
      <c r="L15" s="3">
        <f>Supuestos!C17*Supuestos!C5*(1+Supuestos!C18)^INT(10/6)</f>
        <v>3418.2400000000002</v>
      </c>
      <c r="M15" s="3">
        <f>Supuestos!C17*Supuestos!C5*(1+Supuestos!C18)^INT(11/6)</f>
        <v>3418.2400000000002</v>
      </c>
      <c r="N15" s="3">
        <f>Supuestos!C17*Supuestos!C5*(1+Supuestos!C18)^INT(12/6)</f>
        <v>3828.4288000000006</v>
      </c>
      <c r="O15" s="3">
        <f>Supuestos!C17*Supuestos!C5*(1+Supuestos!C18)^INT(13/6)</f>
        <v>3828.4288000000006</v>
      </c>
      <c r="P15" s="3">
        <f>Supuestos!C17*Supuestos!C5*(1+Supuestos!C18)^INT(14/6)</f>
        <v>3828.4288000000006</v>
      </c>
      <c r="Q15" s="3">
        <f>Supuestos!C17*Supuestos!C5*(1+Supuestos!C18)^INT(15/6)</f>
        <v>3828.4288000000006</v>
      </c>
      <c r="R15" s="3">
        <f>Supuestos!C17*Supuestos!C5*(1+Supuestos!C18)^INT(16/6)</f>
        <v>3828.4288000000006</v>
      </c>
      <c r="S15" s="3">
        <f>Supuestos!C17*Supuestos!C5*(1+Supuestos!C18)^INT(17/6)</f>
        <v>3828.4288000000006</v>
      </c>
      <c r="T15" s="3">
        <f>Supuestos!C17*Supuestos!C5*(1+Supuestos!C18)^INT(18/6)</f>
        <v>4287.8402560000013</v>
      </c>
      <c r="U15" s="3">
        <f>Supuestos!C17*Supuestos!C5*(1+Supuestos!C18)^INT(19/6)</f>
        <v>4287.8402560000013</v>
      </c>
      <c r="V15" s="3">
        <f>Supuestos!C17*Supuestos!C5*(1+Supuestos!C18)^INT(20/6)</f>
        <v>4287.8402560000013</v>
      </c>
      <c r="W15" s="3">
        <f>Supuestos!C17*Supuestos!C5*(1+Supuestos!C18)^INT(21/6)</f>
        <v>4287.8402560000013</v>
      </c>
      <c r="X15" s="3">
        <f>Supuestos!C17*Supuestos!C5*(1+Supuestos!C18)^INT(22/6)</f>
        <v>4287.8402560000013</v>
      </c>
      <c r="Y15" s="3">
        <f>Supuestos!C17*Supuestos!C5*(1+Supuestos!C18)^INT(23/6)</f>
        <v>4287.8402560000013</v>
      </c>
    </row>
    <row r="16" spans="1:25">
      <c r="A16" s="2" t="s">
        <v>283</v>
      </c>
      <c r="B16" s="3">
        <f>Inversion_Costos!B21</f>
        <v>5800</v>
      </c>
      <c r="C16" s="3">
        <f>Inversion_Costos!B21</f>
        <v>5800</v>
      </c>
      <c r="D16" s="3">
        <f>Inversion_Costos!B21</f>
        <v>5800</v>
      </c>
      <c r="E16" s="3">
        <f>Inversion_Costos!B21</f>
        <v>5800</v>
      </c>
      <c r="F16" s="3">
        <f>Inversion_Costos!B21</f>
        <v>5800</v>
      </c>
      <c r="G16" s="3">
        <f>Inversion_Costos!B21</f>
        <v>5800</v>
      </c>
      <c r="H16" s="3">
        <f>Inversion_Costos!B21</f>
        <v>5800</v>
      </c>
      <c r="I16" s="3">
        <f>Inversion_Costos!B21</f>
        <v>5800</v>
      </c>
      <c r="J16" s="3">
        <f>Inversion_Costos!B21</f>
        <v>5800</v>
      </c>
      <c r="K16" s="3">
        <f>Inversion_Costos!B21</f>
        <v>5800</v>
      </c>
      <c r="L16" s="3">
        <f>Inversion_Costos!B21</f>
        <v>5800</v>
      </c>
      <c r="M16" s="3">
        <f>Inversion_Costos!B21</f>
        <v>5800</v>
      </c>
      <c r="N16" s="3">
        <f>Inversion_Costos!B21</f>
        <v>5800</v>
      </c>
      <c r="O16" s="3">
        <f>Inversion_Costos!B21</f>
        <v>5800</v>
      </c>
      <c r="P16" s="3">
        <f>Inversion_Costos!B21</f>
        <v>5800</v>
      </c>
      <c r="Q16" s="3">
        <f>Inversion_Costos!B21</f>
        <v>5800</v>
      </c>
      <c r="R16" s="3">
        <f>Inversion_Costos!B21</f>
        <v>5800</v>
      </c>
      <c r="S16" s="3">
        <f>Inversion_Costos!B21</f>
        <v>5800</v>
      </c>
      <c r="T16" s="3">
        <f>Inversion_Costos!B21</f>
        <v>5800</v>
      </c>
      <c r="U16" s="3">
        <f>Inversion_Costos!B21</f>
        <v>5800</v>
      </c>
      <c r="V16" s="3">
        <f>Inversion_Costos!B21</f>
        <v>5800</v>
      </c>
      <c r="W16" s="3">
        <f>Inversion_Costos!B21</f>
        <v>5800</v>
      </c>
      <c r="X16" s="3">
        <f>Inversion_Costos!B21</f>
        <v>5800</v>
      </c>
      <c r="Y16" s="3">
        <f>Inversion_Costos!B21</f>
        <v>5800</v>
      </c>
    </row>
    <row r="17" spans="1:25">
      <c r="A17" s="2" t="s">
        <v>8</v>
      </c>
      <c r="B17" s="3">
        <f t="shared" ref="B17:Y17" si="3">B13-B15-B16</f>
        <v>-6046.4</v>
      </c>
      <c r="C17" s="3">
        <f t="shared" si="3"/>
        <v>-3184.6879999999983</v>
      </c>
      <c r="D17" s="3">
        <f t="shared" si="3"/>
        <v>-243.29695999999603</v>
      </c>
      <c r="E17" s="3">
        <f t="shared" si="3"/>
        <v>2802.2603968000021</v>
      </c>
      <c r="F17" s="3">
        <f t="shared" si="3"/>
        <v>5977.5985250560043</v>
      </c>
      <c r="G17" s="3">
        <f t="shared" si="3"/>
        <v>9309.677499051526</v>
      </c>
      <c r="H17" s="3">
        <f t="shared" si="3"/>
        <v>12460.794840727409</v>
      </c>
      <c r="I17" s="3">
        <f t="shared" si="3"/>
        <v>16193.792749229233</v>
      </c>
      <c r="J17" s="3">
        <f t="shared" si="3"/>
        <v>20174.882894626899</v>
      </c>
      <c r="K17" s="3">
        <f t="shared" si="3"/>
        <v>24438.891104926344</v>
      </c>
      <c r="L17" s="3">
        <f t="shared" si="3"/>
        <v>29023.324462588818</v>
      </c>
      <c r="M17" s="3">
        <f t="shared" si="3"/>
        <v>33968.703536243935</v>
      </c>
      <c r="N17" s="3">
        <f t="shared" si="3"/>
        <v>38908.73390707287</v>
      </c>
      <c r="O17" s="3">
        <f t="shared" si="3"/>
        <v>44711.453009608347</v>
      </c>
      <c r="P17" s="3">
        <f t="shared" si="3"/>
        <v>51018.523795851084</v>
      </c>
      <c r="Q17" s="3">
        <f t="shared" si="3"/>
        <v>57886.455052295591</v>
      </c>
      <c r="R17" s="3">
        <f t="shared" si="3"/>
        <v>65376.920554635755</v>
      </c>
      <c r="S17" s="3">
        <f t="shared" si="3"/>
        <v>73557.314437841123</v>
      </c>
      <c r="T17" s="3">
        <f t="shared" si="3"/>
        <v>82041.947537547647</v>
      </c>
      <c r="U17" s="3">
        <f t="shared" si="3"/>
        <v>91830.358930271061</v>
      </c>
      <c r="V17" s="3">
        <f t="shared" si="3"/>
        <v>102551.57685319734</v>
      </c>
      <c r="W17" s="3">
        <f t="shared" si="3"/>
        <v>114302.56472807231</v>
      </c>
      <c r="X17" s="3">
        <f t="shared" si="3"/>
        <v>127189.6876973183</v>
      </c>
      <c r="Y17" s="3">
        <f t="shared" si="3"/>
        <v>141329.67636582177</v>
      </c>
    </row>
    <row r="18" spans="1:25">
      <c r="A18" s="2" t="s">
        <v>284</v>
      </c>
      <c r="B18" s="6">
        <f t="shared" ref="B18:Y18" si="4">IFERROR(B17/B9,0)</f>
        <v>-0.53602836879432625</v>
      </c>
      <c r="C18" s="6">
        <f t="shared" si="4"/>
        <v>-0.13976757250193095</v>
      </c>
      <c r="D18" s="6">
        <f t="shared" si="4"/>
        <v>-7.0293571348663013E-3</v>
      </c>
      <c r="E18" s="6">
        <f t="shared" si="4"/>
        <v>5.9805403498049102E-2</v>
      </c>
      <c r="F18" s="6">
        <f t="shared" si="4"/>
        <v>0.10025683783087373</v>
      </c>
      <c r="G18" s="6">
        <f t="shared" si="4"/>
        <v>0.12749563911175979</v>
      </c>
      <c r="H18" s="6">
        <f t="shared" si="4"/>
        <v>0.14296260582091699</v>
      </c>
      <c r="I18" s="6">
        <f t="shared" si="4"/>
        <v>0.15849874349447965</v>
      </c>
      <c r="J18" s="6">
        <f t="shared" si="4"/>
        <v>0.17071903424461582</v>
      </c>
      <c r="K18" s="6">
        <f t="shared" si="4"/>
        <v>0.18060137606180623</v>
      </c>
      <c r="L18" s="6">
        <f t="shared" si="4"/>
        <v>0.18876790645434513</v>
      </c>
      <c r="M18" s="6">
        <f t="shared" si="4"/>
        <v>0.1956334690502875</v>
      </c>
      <c r="N18" s="6">
        <f t="shared" si="4"/>
        <v>0.1993835694730734</v>
      </c>
      <c r="O18" s="6">
        <f t="shared" si="4"/>
        <v>0.2046523553495318</v>
      </c>
      <c r="P18" s="6">
        <f t="shared" si="4"/>
        <v>0.20923559017297086</v>
      </c>
      <c r="Q18" s="6">
        <f t="shared" si="4"/>
        <v>0.21325247618551507</v>
      </c>
      <c r="R18" s="6">
        <f t="shared" si="4"/>
        <v>0.21679480703696699</v>
      </c>
      <c r="S18" s="6">
        <f t="shared" si="4"/>
        <v>0.21993462993471474</v>
      </c>
      <c r="T18" s="6">
        <f t="shared" si="4"/>
        <v>0.22148919445035645</v>
      </c>
      <c r="U18" s="6">
        <f t="shared" si="4"/>
        <v>0.22410481807454846</v>
      </c>
      <c r="V18" s="6">
        <f t="shared" si="4"/>
        <v>0.22644805842656943</v>
      </c>
      <c r="W18" s="6">
        <f t="shared" si="4"/>
        <v>0.22855237924436725</v>
      </c>
      <c r="X18" s="6">
        <f t="shared" si="4"/>
        <v>0.23044596287460473</v>
      </c>
      <c r="Y18" s="6">
        <f t="shared" si="4"/>
        <v>0.23215278530689973</v>
      </c>
    </row>
    <row r="19" spans="1:25">
      <c r="A19" s="2" t="s">
        <v>285</v>
      </c>
      <c r="B19" s="3">
        <f>-Supuestos!C24+B17</f>
        <v>-6546.4</v>
      </c>
      <c r="C19" s="3">
        <f t="shared" ref="C19:Y19" si="5">B19+C17</f>
        <v>-9731.0879999999979</v>
      </c>
      <c r="D19" s="3">
        <f t="shared" si="5"/>
        <v>-9974.384959999994</v>
      </c>
      <c r="E19" s="3">
        <f t="shared" si="5"/>
        <v>-7172.1245631999918</v>
      </c>
      <c r="F19" s="3">
        <f t="shared" si="5"/>
        <v>-1194.5260381439875</v>
      </c>
      <c r="G19" s="3">
        <f t="shared" si="5"/>
        <v>8115.1514609075384</v>
      </c>
      <c r="H19" s="3">
        <f t="shared" si="5"/>
        <v>20575.946301634947</v>
      </c>
      <c r="I19" s="3">
        <f t="shared" si="5"/>
        <v>36769.739050864184</v>
      </c>
      <c r="J19" s="3">
        <f t="shared" si="5"/>
        <v>56944.621945491082</v>
      </c>
      <c r="K19" s="3">
        <f t="shared" si="5"/>
        <v>81383.51305041743</v>
      </c>
      <c r="L19" s="3">
        <f t="shared" si="5"/>
        <v>110406.83751300625</v>
      </c>
      <c r="M19" s="3">
        <f t="shared" si="5"/>
        <v>144375.54104925017</v>
      </c>
      <c r="N19" s="3">
        <f t="shared" si="5"/>
        <v>183284.27495632303</v>
      </c>
      <c r="O19" s="3">
        <f t="shared" si="5"/>
        <v>227995.72796593138</v>
      </c>
      <c r="P19" s="3">
        <f t="shared" si="5"/>
        <v>279014.25176178245</v>
      </c>
      <c r="Q19" s="3">
        <f t="shared" si="5"/>
        <v>336900.70681407803</v>
      </c>
      <c r="R19" s="3">
        <f t="shared" si="5"/>
        <v>402277.62736871379</v>
      </c>
      <c r="S19" s="3">
        <f t="shared" si="5"/>
        <v>475834.94180655491</v>
      </c>
      <c r="T19" s="3">
        <f t="shared" si="5"/>
        <v>557876.88934410259</v>
      </c>
      <c r="U19" s="3">
        <f t="shared" si="5"/>
        <v>649707.24827437359</v>
      </c>
      <c r="V19" s="3">
        <f t="shared" si="5"/>
        <v>752258.82512757089</v>
      </c>
      <c r="W19" s="3">
        <f t="shared" si="5"/>
        <v>866561.38985564315</v>
      </c>
      <c r="X19" s="3">
        <f t="shared" si="5"/>
        <v>993751.07755296142</v>
      </c>
      <c r="Y19" s="3">
        <f t="shared" si="5"/>
        <v>1135080.7539187833</v>
      </c>
    </row>
    <row r="20" spans="1:25">
      <c r="A20" s="2" t="s">
        <v>286</v>
      </c>
      <c r="B20" s="16">
        <f>B5/Supuestos!C18</f>
        <v>66.666666666666671</v>
      </c>
      <c r="C20" s="16">
        <f>C5/Supuestos!C18</f>
        <v>73.333333333333343</v>
      </c>
      <c r="D20" s="16">
        <f>D5/Supuestos!C18</f>
        <v>80.666666666666686</v>
      </c>
      <c r="E20" s="16">
        <f>E5/Supuestos!C18</f>
        <v>88.733333333333363</v>
      </c>
      <c r="F20" s="16">
        <f>F5/Supuestos!C18</f>
        <v>97.606666666666712</v>
      </c>
      <c r="G20" s="16">
        <f>G5/Supuestos!C18</f>
        <v>107.36733333333339</v>
      </c>
      <c r="H20" s="16">
        <f>H5/Supuestos!C18</f>
        <v>118.10406666666674</v>
      </c>
      <c r="I20" s="16">
        <f>I5/Supuestos!C18</f>
        <v>129.91447333333343</v>
      </c>
      <c r="J20" s="16">
        <f>J5/Supuestos!C18</f>
        <v>142.90592066666679</v>
      </c>
      <c r="K20" s="16">
        <f>K5/Supuestos!C18</f>
        <v>157.19651273333346</v>
      </c>
      <c r="L20" s="16">
        <f>L5/Supuestos!C18</f>
        <v>172.91616400666683</v>
      </c>
      <c r="M20" s="16">
        <f>M5/Supuestos!C18</f>
        <v>190.20778040733353</v>
      </c>
      <c r="N20" s="16">
        <f>N5/Supuestos!C18</f>
        <v>209.22855844806691</v>
      </c>
      <c r="O20" s="16">
        <f>O5/Supuestos!C18</f>
        <v>230.15141429287362</v>
      </c>
      <c r="P20" s="16">
        <f>P5/Supuestos!C18</f>
        <v>253.16655572216101</v>
      </c>
      <c r="Q20" s="16">
        <f>Q5/Supuestos!C18</f>
        <v>278.4832112943771</v>
      </c>
      <c r="R20" s="16">
        <f>R5/Supuestos!C18</f>
        <v>306.33153242381479</v>
      </c>
      <c r="S20" s="16">
        <f>S5/Supuestos!C18</f>
        <v>336.96468566619632</v>
      </c>
      <c r="T20" s="16">
        <f>T5/Supuestos!C18</f>
        <v>370.66115423281593</v>
      </c>
      <c r="U20" s="16">
        <f>U5/Supuestos!C18</f>
        <v>407.72726965609758</v>
      </c>
      <c r="V20" s="16">
        <f>V5/Supuestos!C18</f>
        <v>448.49999662170734</v>
      </c>
      <c r="W20" s="16">
        <f>W5/Supuestos!C18</f>
        <v>493.34999628387811</v>
      </c>
      <c r="X20" s="16">
        <f>X5/Supuestos!C18</f>
        <v>542.684995912266</v>
      </c>
      <c r="Y20" s="16">
        <f>Y5/Supuestos!C18</f>
        <v>596.9534955034926</v>
      </c>
    </row>
    <row r="21" spans="1:25">
      <c r="A21" s="2" t="s">
        <v>244</v>
      </c>
      <c r="B21" s="3">
        <f>Unit_Economics!C18</f>
        <v>3333.3333333333335</v>
      </c>
      <c r="C21" s="3">
        <f>Unit_Economics!C18</f>
        <v>3333.3333333333335</v>
      </c>
      <c r="D21" s="3">
        <f>Unit_Economics!C18</f>
        <v>3333.3333333333335</v>
      </c>
      <c r="E21" s="3">
        <f>Unit_Economics!C18</f>
        <v>3333.3333333333335</v>
      </c>
      <c r="F21" s="3">
        <f>Unit_Economics!C18</f>
        <v>3333.3333333333335</v>
      </c>
      <c r="G21" s="3">
        <f>Unit_Economics!C18</f>
        <v>3333.3333333333335</v>
      </c>
      <c r="H21" s="3">
        <f>Unit_Economics!C18</f>
        <v>3333.3333333333335</v>
      </c>
      <c r="I21" s="3">
        <f>Unit_Economics!C18</f>
        <v>3333.3333333333335</v>
      </c>
      <c r="J21" s="3">
        <f>Unit_Economics!C18</f>
        <v>3333.3333333333335</v>
      </c>
      <c r="K21" s="3">
        <f>Unit_Economics!C18</f>
        <v>3333.3333333333335</v>
      </c>
      <c r="L21" s="3">
        <f>Unit_Economics!C18</f>
        <v>3333.3333333333335</v>
      </c>
      <c r="M21" s="3">
        <f>Unit_Economics!C18</f>
        <v>3333.3333333333335</v>
      </c>
      <c r="N21" s="3">
        <f>Unit_Economics!C18</f>
        <v>3333.3333333333335</v>
      </c>
      <c r="O21" s="3">
        <f>Unit_Economics!C18</f>
        <v>3333.3333333333335</v>
      </c>
      <c r="P21" s="3">
        <f>Unit_Economics!C18</f>
        <v>3333.3333333333335</v>
      </c>
      <c r="Q21" s="3">
        <f>Unit_Economics!C18</f>
        <v>3333.3333333333335</v>
      </c>
      <c r="R21" s="3">
        <f>Unit_Economics!C18</f>
        <v>3333.3333333333335</v>
      </c>
      <c r="S21" s="3">
        <f>Unit_Economics!C18</f>
        <v>3333.3333333333335</v>
      </c>
      <c r="T21" s="3">
        <f>Unit_Economics!C18</f>
        <v>3333.3333333333335</v>
      </c>
      <c r="U21" s="3">
        <f>Unit_Economics!C18</f>
        <v>3333.3333333333335</v>
      </c>
      <c r="V21" s="3">
        <f>Unit_Economics!C18</f>
        <v>3333.3333333333335</v>
      </c>
      <c r="W21" s="3">
        <f>Unit_Economics!C18</f>
        <v>3333.3333333333335</v>
      </c>
      <c r="X21" s="3">
        <f>Unit_Economics!C18</f>
        <v>3333.3333333333335</v>
      </c>
      <c r="Y21" s="3">
        <f>Unit_Economics!C18</f>
        <v>3333.3333333333335</v>
      </c>
    </row>
  </sheetData>
  <mergeCells count="2">
    <mergeCell ref="A1:Y1"/>
    <mergeCell ref="A2:Y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4"/>
  <sheetViews>
    <sheetView showGridLines="0" workbookViewId="0"/>
  </sheetViews>
  <sheetFormatPr baseColWidth="10" defaultColWidth="8.83203125" defaultRowHeight="14"/>
  <cols>
    <col min="1" max="1" width="20.1640625" customWidth="1"/>
    <col min="2" max="5" width="14.1640625" customWidth="1"/>
    <col min="6" max="8" width="16.5" customWidth="1"/>
    <col min="9" max="10" width="17.83203125" customWidth="1"/>
    <col min="11" max="11" width="31.33203125" customWidth="1"/>
  </cols>
  <sheetData>
    <row r="1" spans="1:14" ht="25.5" customHeight="1">
      <c r="A1" s="19" t="s">
        <v>287</v>
      </c>
      <c r="B1" s="19" t="s">
        <v>287</v>
      </c>
      <c r="C1" s="19" t="s">
        <v>287</v>
      </c>
      <c r="D1" s="19" t="s">
        <v>287</v>
      </c>
      <c r="E1" s="19" t="s">
        <v>287</v>
      </c>
      <c r="F1" s="19" t="s">
        <v>287</v>
      </c>
      <c r="G1" s="19" t="s">
        <v>287</v>
      </c>
      <c r="H1" s="19" t="s">
        <v>287</v>
      </c>
      <c r="I1" s="19" t="s">
        <v>287</v>
      </c>
      <c r="J1" s="19" t="s">
        <v>287</v>
      </c>
      <c r="K1" s="19" t="s">
        <v>287</v>
      </c>
      <c r="L1" s="18"/>
      <c r="M1" s="18"/>
      <c r="N1" s="18"/>
    </row>
    <row r="2" spans="1:14" ht="18" customHeight="1">
      <c r="A2" s="20" t="s">
        <v>288</v>
      </c>
      <c r="B2" s="20" t="s">
        <v>288</v>
      </c>
      <c r="C2" s="20" t="s">
        <v>288</v>
      </c>
      <c r="D2" s="20" t="s">
        <v>288</v>
      </c>
      <c r="E2" s="20" t="s">
        <v>288</v>
      </c>
      <c r="F2" s="20" t="s">
        <v>288</v>
      </c>
      <c r="G2" s="20" t="s">
        <v>288</v>
      </c>
      <c r="H2" s="20" t="s">
        <v>288</v>
      </c>
      <c r="I2" s="20" t="s">
        <v>288</v>
      </c>
      <c r="J2" s="20" t="s">
        <v>288</v>
      </c>
      <c r="K2" s="20" t="s">
        <v>288</v>
      </c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4">
      <c r="A4" s="1" t="s">
        <v>32</v>
      </c>
      <c r="B4" s="1" t="s">
        <v>35</v>
      </c>
      <c r="C4" s="1" t="s">
        <v>289</v>
      </c>
      <c r="D4" s="1" t="s">
        <v>290</v>
      </c>
      <c r="E4" s="1" t="s">
        <v>291</v>
      </c>
      <c r="F4" s="1" t="s">
        <v>36</v>
      </c>
      <c r="G4" s="1" t="s">
        <v>292</v>
      </c>
      <c r="H4" s="1" t="s">
        <v>293</v>
      </c>
      <c r="I4" s="1" t="s">
        <v>33</v>
      </c>
      <c r="J4" s="1" t="s">
        <v>294</v>
      </c>
      <c r="K4" s="1" t="s">
        <v>34</v>
      </c>
    </row>
    <row r="5" spans="1:14">
      <c r="A5" s="2" t="s">
        <v>295</v>
      </c>
      <c r="B5" s="3">
        <v>210</v>
      </c>
      <c r="C5" s="5">
        <v>4</v>
      </c>
      <c r="D5" s="5">
        <v>5</v>
      </c>
      <c r="E5" s="6">
        <v>0.05</v>
      </c>
      <c r="F5" s="6">
        <v>0.12</v>
      </c>
      <c r="G5" s="3">
        <v>250</v>
      </c>
      <c r="H5" s="3">
        <v>5200</v>
      </c>
      <c r="I5" s="3">
        <f>(IF(ABS(1-((1+E5)/(1-F5)))&lt;0.0001,D5*12*(1-F5)^11,D5*(1-F5)^11*(1-((1+E5)/(1-F5))^12)/(1-((1+E5)/(1-F5)))))*C5*B5*(1-Supuestos!C10-Supuestos!C11)-(IF(ABS(1-((1+E5)/(1-F5)))&lt;0.0001,D5*12*(1-F5)^11,D5*(1-F5)^11*(1-((1+E5)/(1-F5))^12)/(1-((1+E5)/(1-F5)))))*C5*Supuestos!C12-G5*Supuestos!C5-H5</f>
        <v>2503.7439175721356</v>
      </c>
      <c r="J5" s="2" t="str">
        <f>IF(I5&lt;=0,"No recupera en 12m","Ver forecast")</f>
        <v>Ver forecast</v>
      </c>
      <c r="K5" s="2" t="s">
        <v>296</v>
      </c>
    </row>
    <row r="6" spans="1:14">
      <c r="A6" s="2" t="s">
        <v>297</v>
      </c>
      <c r="B6" s="3">
        <f>Unit_Economics!C5</f>
        <v>235</v>
      </c>
      <c r="C6" s="5">
        <f>Supuestos!C13</f>
        <v>6</v>
      </c>
      <c r="D6" s="5">
        <f>Supuestos!C14</f>
        <v>8</v>
      </c>
      <c r="E6" s="6">
        <f>Supuestos!C15</f>
        <v>0.1</v>
      </c>
      <c r="F6" s="6">
        <f>Supuestos!C16</f>
        <v>0.08</v>
      </c>
      <c r="G6" s="3">
        <f>Supuestos!C17</f>
        <v>400</v>
      </c>
      <c r="H6" s="3">
        <f>Inversion_Costos!B21</f>
        <v>5800</v>
      </c>
      <c r="I6" s="3">
        <f>Forecast_Base!M17</f>
        <v>33968.703536243935</v>
      </c>
      <c r="J6" s="2" t="e">
        <f>Resumen!B8</f>
        <v>#N/A</v>
      </c>
      <c r="K6" s="2" t="s">
        <v>298</v>
      </c>
    </row>
    <row r="7" spans="1:14">
      <c r="A7" s="2" t="s">
        <v>299</v>
      </c>
      <c r="B7" s="3">
        <v>250</v>
      </c>
      <c r="C7" s="5">
        <v>8</v>
      </c>
      <c r="D7" s="5">
        <v>12</v>
      </c>
      <c r="E7" s="6">
        <v>0.15</v>
      </c>
      <c r="F7" s="6">
        <v>0.06</v>
      </c>
      <c r="G7" s="3">
        <v>600</v>
      </c>
      <c r="H7" s="3">
        <v>7500</v>
      </c>
      <c r="I7" s="3">
        <f>(IF(ABS(1-((1+E7)/(1-F7)))&lt;0.0001,D7*12*(1-F7)^11,D7*(1-F7)^11*(1-((1+E7)/(1-F7))^12)/(1-((1+E7)/(1-F7)))))*C7*B7*(1-Supuestos!C10-Supuestos!C11)-(IF(ABS(1-((1+E7)/(1-F7)))&lt;0.0001,D7*12*(1-F7)^11,D7*(1-F7)^11*(1-((1+E7)/(1-F7))^12)/(1-((1+E7)/(1-F7)))))*C7*Supuestos!C12-G7*Supuestos!C5-H7</f>
        <v>127188.56544741307</v>
      </c>
      <c r="J7" s="2" t="str">
        <f>IF(I7&lt;=0,"No recupera en 12m","&lt;12 meses probable")</f>
        <v>&lt;12 meses probable</v>
      </c>
      <c r="K7" s="2" t="s">
        <v>300</v>
      </c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4">
      <c r="A10" s="1" t="s">
        <v>301</v>
      </c>
      <c r="B10" s="1" t="s">
        <v>302</v>
      </c>
      <c r="C10" s="1" t="s">
        <v>303</v>
      </c>
      <c r="D10" s="1" t="s">
        <v>304</v>
      </c>
      <c r="E10" s="1" t="s">
        <v>305</v>
      </c>
      <c r="F10" s="1" t="s">
        <v>50</v>
      </c>
      <c r="G10" s="2"/>
      <c r="H10" s="2"/>
      <c r="I10" s="2"/>
      <c r="J10" s="2"/>
      <c r="K10" s="2"/>
    </row>
    <row r="11" spans="1:14">
      <c r="A11" s="2" t="s">
        <v>306</v>
      </c>
      <c r="B11" s="5">
        <f>ROUND(Unit_Economics!C14/((200*(1-Supuestos!C10-Supuestos!C11)-Supuestos!C12)*4),1)</f>
        <v>45.2</v>
      </c>
      <c r="C11" s="5">
        <f>ROUND(Unit_Economics!C14/((225*(1-Supuestos!C10-Supuestos!C11)-Supuestos!C12)*4),1)</f>
        <v>39.700000000000003</v>
      </c>
      <c r="D11" s="5">
        <f>ROUND(Unit_Economics!C14/((250*(1-Supuestos!C10-Supuestos!C11)-Supuestos!C12)*4),1)</f>
        <v>35.4</v>
      </c>
      <c r="E11" s="5">
        <f>ROUND(Unit_Economics!C14/((275*(1-Supuestos!C10-Supuestos!C11)-Supuestos!C12)*4),1)</f>
        <v>32</v>
      </c>
      <c r="F11" s="2" t="s">
        <v>307</v>
      </c>
      <c r="G11" s="2"/>
      <c r="H11" s="2"/>
      <c r="I11" s="2"/>
      <c r="J11" s="2"/>
      <c r="K11" s="2"/>
    </row>
    <row r="12" spans="1:14">
      <c r="A12" s="2" t="s">
        <v>308</v>
      </c>
      <c r="B12" s="5">
        <f>ROUND(Unit_Economics!C14/((200*(1-Supuestos!C10-Supuestos!C11)-Supuestos!C12)*6),1)</f>
        <v>30.1</v>
      </c>
      <c r="C12" s="5">
        <f>ROUND(Unit_Economics!C14/((225*(1-Supuestos!C10-Supuestos!C11)-Supuestos!C12)*6),1)</f>
        <v>26.5</v>
      </c>
      <c r="D12" s="5">
        <f>ROUND(Unit_Economics!C14/((250*(1-Supuestos!C10-Supuestos!C11)-Supuestos!C12)*6),1)</f>
        <v>23.6</v>
      </c>
      <c r="E12" s="5">
        <f>ROUND(Unit_Economics!C14/((275*(1-Supuestos!C10-Supuestos!C11)-Supuestos!C12)*6),1)</f>
        <v>21.3</v>
      </c>
      <c r="F12" s="2" t="s">
        <v>309</v>
      </c>
      <c r="G12" s="2"/>
      <c r="H12" s="2"/>
      <c r="I12" s="2"/>
      <c r="J12" s="2"/>
      <c r="K12" s="2"/>
    </row>
    <row r="13" spans="1:14">
      <c r="A13" s="2" t="s">
        <v>310</v>
      </c>
      <c r="B13" s="5">
        <f>ROUND(Unit_Economics!C14/((200*(1-Supuestos!C10-Supuestos!C11)-Supuestos!C12)*8),1)</f>
        <v>22.6</v>
      </c>
      <c r="C13" s="5">
        <f>ROUND(Unit_Economics!C14/((225*(1-Supuestos!C10-Supuestos!C11)-Supuestos!C12)*8),1)</f>
        <v>19.8</v>
      </c>
      <c r="D13" s="5">
        <f>ROUND(Unit_Economics!C14/((250*(1-Supuestos!C10-Supuestos!C11)-Supuestos!C12)*8),1)</f>
        <v>17.7</v>
      </c>
      <c r="E13" s="5">
        <f>ROUND(Unit_Economics!C14/((275*(1-Supuestos!C10-Supuestos!C11)-Supuestos!C12)*8),1)</f>
        <v>16</v>
      </c>
      <c r="F13" s="2" t="s">
        <v>311</v>
      </c>
      <c r="G13" s="2"/>
      <c r="H13" s="2"/>
      <c r="I13" s="2"/>
      <c r="J13" s="2"/>
      <c r="K13" s="2"/>
    </row>
    <row r="14" spans="1:14">
      <c r="A14" s="2" t="s">
        <v>312</v>
      </c>
      <c r="B14" s="5">
        <f>ROUND(Unit_Economics!C14/((200*(1-Supuestos!C10-Supuestos!C11)-Supuestos!C12)*12),1)</f>
        <v>15.1</v>
      </c>
      <c r="C14" s="5">
        <f>ROUND(Unit_Economics!C14/((225*(1-Supuestos!C10-Supuestos!C11)-Supuestos!C12)*12),1)</f>
        <v>13.2</v>
      </c>
      <c r="D14" s="5">
        <f>ROUND(Unit_Economics!C14/((250*(1-Supuestos!C10-Supuestos!C11)-Supuestos!C12)*12),1)</f>
        <v>11.8</v>
      </c>
      <c r="E14" s="5">
        <f>ROUND(Unit_Economics!C14/((275*(1-Supuestos!C10-Supuestos!C11)-Supuestos!C12)*12),1)</f>
        <v>10.7</v>
      </c>
      <c r="F14" s="2" t="s">
        <v>313</v>
      </c>
      <c r="G14" s="2"/>
      <c r="H14" s="2"/>
      <c r="I14" s="2"/>
      <c r="J14" s="2"/>
      <c r="K14" s="2"/>
    </row>
  </sheetData>
  <mergeCells count="2">
    <mergeCell ref="A1:K1"/>
    <mergeCell ref="A2:K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4"/>
  <sheetViews>
    <sheetView showGridLines="0" workbookViewId="0"/>
  </sheetViews>
  <sheetFormatPr baseColWidth="10" defaultColWidth="8.83203125" defaultRowHeight="14"/>
  <cols>
    <col min="1" max="1" width="27.6640625" customWidth="1"/>
    <col min="2" max="4" width="14.1640625" customWidth="1"/>
    <col min="5" max="5" width="19" customWidth="1"/>
    <col min="6" max="6" width="25.1640625" customWidth="1"/>
    <col min="7" max="7" width="19" customWidth="1"/>
    <col min="8" max="8" width="38.6640625" customWidth="1"/>
  </cols>
  <sheetData>
    <row r="1" spans="1:14" ht="25.5" customHeight="1">
      <c r="A1" s="19" t="s">
        <v>314</v>
      </c>
      <c r="B1" s="19" t="s">
        <v>314</v>
      </c>
      <c r="C1" s="19" t="s">
        <v>314</v>
      </c>
      <c r="D1" s="19" t="s">
        <v>314</v>
      </c>
      <c r="E1" s="19" t="s">
        <v>314</v>
      </c>
      <c r="F1" s="19" t="s">
        <v>314</v>
      </c>
      <c r="G1" s="19" t="s">
        <v>314</v>
      </c>
      <c r="H1" s="19" t="s">
        <v>314</v>
      </c>
      <c r="I1" s="18"/>
      <c r="J1" s="18"/>
      <c r="K1" s="18"/>
      <c r="L1" s="18"/>
      <c r="M1" s="18"/>
      <c r="N1" s="18"/>
    </row>
    <row r="2" spans="1:14" ht="18" customHeight="1">
      <c r="A2" s="20" t="s">
        <v>315</v>
      </c>
      <c r="B2" s="20" t="s">
        <v>315</v>
      </c>
      <c r="C2" s="20" t="s">
        <v>315</v>
      </c>
      <c r="D2" s="20" t="s">
        <v>315</v>
      </c>
      <c r="E2" s="20" t="s">
        <v>315</v>
      </c>
      <c r="F2" s="20" t="s">
        <v>315</v>
      </c>
      <c r="G2" s="20" t="s">
        <v>315</v>
      </c>
      <c r="H2" s="20" t="s">
        <v>315</v>
      </c>
    </row>
    <row r="3" spans="1:14">
      <c r="A3" s="2"/>
      <c r="B3" s="2"/>
      <c r="C3" s="2"/>
      <c r="D3" s="2"/>
      <c r="E3" s="2"/>
      <c r="F3" s="2"/>
      <c r="G3" s="2"/>
      <c r="H3" s="2"/>
    </row>
    <row r="4" spans="1:14">
      <c r="A4" s="1" t="s">
        <v>316</v>
      </c>
      <c r="B4" s="1" t="s">
        <v>317</v>
      </c>
      <c r="C4" s="1" t="s">
        <v>318</v>
      </c>
      <c r="D4" s="1" t="s">
        <v>48</v>
      </c>
      <c r="E4" s="1" t="s">
        <v>319</v>
      </c>
      <c r="F4" s="1" t="s">
        <v>145</v>
      </c>
      <c r="G4" s="1" t="s">
        <v>49</v>
      </c>
      <c r="H4" s="1" t="s">
        <v>50</v>
      </c>
    </row>
    <row r="5" spans="1:14" ht="30">
      <c r="A5" s="4" t="s">
        <v>320</v>
      </c>
      <c r="B5" s="4" t="s">
        <v>321</v>
      </c>
      <c r="C5" s="17">
        <v>5000</v>
      </c>
      <c r="D5" s="4" t="s">
        <v>126</v>
      </c>
      <c r="E5" s="4" t="s">
        <v>322</v>
      </c>
      <c r="F5" s="4" t="s">
        <v>142</v>
      </c>
      <c r="G5" s="4" t="s">
        <v>127</v>
      </c>
      <c r="H5" s="4" t="s">
        <v>323</v>
      </c>
    </row>
    <row r="6" spans="1:14" ht="15">
      <c r="A6" s="4" t="s">
        <v>324</v>
      </c>
      <c r="B6" s="4" t="s">
        <v>321</v>
      </c>
      <c r="C6" s="17">
        <v>3000</v>
      </c>
      <c r="D6" s="4" t="s">
        <v>126</v>
      </c>
      <c r="E6" s="4" t="s">
        <v>322</v>
      </c>
      <c r="F6" s="4" t="s">
        <v>142</v>
      </c>
      <c r="G6" s="4" t="s">
        <v>127</v>
      </c>
      <c r="H6" s="4" t="s">
        <v>325</v>
      </c>
    </row>
    <row r="7" spans="1:14" ht="15">
      <c r="A7" s="4" t="s">
        <v>326</v>
      </c>
      <c r="B7" s="4" t="s">
        <v>321</v>
      </c>
      <c r="C7" s="17">
        <v>4000</v>
      </c>
      <c r="D7" s="4" t="s">
        <v>126</v>
      </c>
      <c r="E7" s="4" t="s">
        <v>327</v>
      </c>
      <c r="F7" s="4" t="s">
        <v>142</v>
      </c>
      <c r="G7" s="4" t="s">
        <v>95</v>
      </c>
      <c r="H7" s="4" t="s">
        <v>328</v>
      </c>
    </row>
    <row r="8" spans="1:14" ht="30">
      <c r="A8" s="4" t="s">
        <v>329</v>
      </c>
      <c r="B8" s="4" t="s">
        <v>321</v>
      </c>
      <c r="C8" s="17">
        <v>2500</v>
      </c>
      <c r="D8" s="4" t="s">
        <v>126</v>
      </c>
      <c r="E8" s="4" t="s">
        <v>322</v>
      </c>
      <c r="F8" s="4" t="s">
        <v>142</v>
      </c>
      <c r="G8" s="4" t="s">
        <v>127</v>
      </c>
      <c r="H8" s="4" t="s">
        <v>330</v>
      </c>
    </row>
    <row r="9" spans="1:14" ht="30">
      <c r="A9" s="4" t="s">
        <v>331</v>
      </c>
      <c r="B9" s="4" t="s">
        <v>321</v>
      </c>
      <c r="C9" s="17">
        <v>2000</v>
      </c>
      <c r="D9" s="4" t="s">
        <v>126</v>
      </c>
      <c r="E9" s="4" t="s">
        <v>322</v>
      </c>
      <c r="F9" s="4" t="s">
        <v>164</v>
      </c>
      <c r="G9" s="4" t="s">
        <v>127</v>
      </c>
      <c r="H9" s="4" t="s">
        <v>332</v>
      </c>
    </row>
    <row r="10" spans="1:14" ht="30">
      <c r="A10" s="4" t="s">
        <v>333</v>
      </c>
      <c r="B10" s="4" t="s">
        <v>321</v>
      </c>
      <c r="C10" s="17">
        <v>5000</v>
      </c>
      <c r="D10" s="4" t="s">
        <v>126</v>
      </c>
      <c r="E10" s="4" t="s">
        <v>322</v>
      </c>
      <c r="F10" s="4" t="s">
        <v>164</v>
      </c>
      <c r="G10" s="4" t="s">
        <v>334</v>
      </c>
      <c r="H10" s="4" t="s">
        <v>335</v>
      </c>
    </row>
    <row r="11" spans="1:14" ht="15">
      <c r="A11" s="4" t="s">
        <v>336</v>
      </c>
      <c r="B11" s="4" t="s">
        <v>321</v>
      </c>
      <c r="C11" s="17">
        <v>3000</v>
      </c>
      <c r="D11" s="4" t="s">
        <v>126</v>
      </c>
      <c r="E11" s="4" t="s">
        <v>322</v>
      </c>
      <c r="F11" s="4" t="s">
        <v>164</v>
      </c>
      <c r="G11" s="4" t="s">
        <v>127</v>
      </c>
      <c r="H11" s="4" t="s">
        <v>337</v>
      </c>
    </row>
    <row r="12" spans="1:14" ht="15">
      <c r="A12" s="4" t="s">
        <v>108</v>
      </c>
      <c r="B12" s="4" t="s">
        <v>338</v>
      </c>
      <c r="C12" s="17">
        <v>3000</v>
      </c>
      <c r="D12" s="4" t="s">
        <v>109</v>
      </c>
      <c r="E12" s="4" t="s">
        <v>339</v>
      </c>
      <c r="F12" s="4" t="s">
        <v>142</v>
      </c>
      <c r="G12" s="4" t="s">
        <v>110</v>
      </c>
      <c r="H12" s="4" t="s">
        <v>340</v>
      </c>
    </row>
    <row r="13" spans="1:14" ht="15">
      <c r="A13" s="4" t="s">
        <v>112</v>
      </c>
      <c r="B13" s="4" t="s">
        <v>338</v>
      </c>
      <c r="C13" s="17">
        <v>600</v>
      </c>
      <c r="D13" s="4" t="s">
        <v>109</v>
      </c>
      <c r="E13" s="4" t="s">
        <v>339</v>
      </c>
      <c r="F13" s="4" t="s">
        <v>142</v>
      </c>
      <c r="G13" s="4" t="s">
        <v>113</v>
      </c>
      <c r="H13" s="4" t="s">
        <v>341</v>
      </c>
    </row>
    <row r="14" spans="1:14" ht="15">
      <c r="A14" s="4" t="s">
        <v>115</v>
      </c>
      <c r="B14" s="4" t="s">
        <v>338</v>
      </c>
      <c r="C14" s="17">
        <v>1200</v>
      </c>
      <c r="D14" s="4" t="s">
        <v>109</v>
      </c>
      <c r="E14" s="4" t="s">
        <v>339</v>
      </c>
      <c r="F14" s="4" t="s">
        <v>164</v>
      </c>
      <c r="G14" s="4" t="s">
        <v>116</v>
      </c>
      <c r="H14" s="4" t="s">
        <v>342</v>
      </c>
    </row>
    <row r="15" spans="1:14" ht="15">
      <c r="A15" s="4" t="s">
        <v>118</v>
      </c>
      <c r="B15" s="4" t="s">
        <v>338</v>
      </c>
      <c r="C15" s="17">
        <v>500</v>
      </c>
      <c r="D15" s="4" t="s">
        <v>109</v>
      </c>
      <c r="E15" s="4" t="s">
        <v>339</v>
      </c>
      <c r="F15" s="4" t="s">
        <v>164</v>
      </c>
      <c r="G15" s="4" t="s">
        <v>119</v>
      </c>
      <c r="H15" s="4" t="s">
        <v>343</v>
      </c>
    </row>
    <row r="16" spans="1:14" ht="15">
      <c r="A16" s="4" t="s">
        <v>121</v>
      </c>
      <c r="B16" s="4" t="s">
        <v>338</v>
      </c>
      <c r="C16" s="17">
        <v>500</v>
      </c>
      <c r="D16" s="4" t="s">
        <v>109</v>
      </c>
      <c r="E16" s="4" t="s">
        <v>339</v>
      </c>
      <c r="F16" s="4" t="s">
        <v>164</v>
      </c>
      <c r="G16" s="4" t="s">
        <v>122</v>
      </c>
      <c r="H16" s="4" t="s">
        <v>344</v>
      </c>
    </row>
    <row r="17" spans="1:8" ht="15">
      <c r="A17" s="4" t="s">
        <v>345</v>
      </c>
      <c r="B17" s="4" t="s">
        <v>338</v>
      </c>
      <c r="C17" s="17">
        <v>3052</v>
      </c>
      <c r="D17" s="4" t="s">
        <v>109</v>
      </c>
      <c r="E17" s="4" t="s">
        <v>339</v>
      </c>
      <c r="F17" s="4" t="s">
        <v>142</v>
      </c>
      <c r="G17" s="4" t="s">
        <v>95</v>
      </c>
      <c r="H17" s="4" t="s">
        <v>346</v>
      </c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1" t="s">
        <v>347</v>
      </c>
      <c r="B19" s="1" t="s">
        <v>318</v>
      </c>
      <c r="C19" s="2"/>
      <c r="D19" s="2"/>
      <c r="E19" s="2"/>
      <c r="F19" s="2"/>
      <c r="G19" s="2"/>
      <c r="H19" s="2"/>
    </row>
    <row r="20" spans="1:8">
      <c r="A20" s="2" t="s">
        <v>348</v>
      </c>
      <c r="B20" s="3">
        <f>SUMIF(B5:B17,"Inicial",C5:C17)</f>
        <v>24500</v>
      </c>
      <c r="C20" s="2"/>
      <c r="D20" s="2"/>
      <c r="E20" s="2"/>
      <c r="F20" s="2"/>
      <c r="G20" s="2"/>
      <c r="H20" s="2"/>
    </row>
    <row r="21" spans="1:8">
      <c r="A21" s="2" t="s">
        <v>349</v>
      </c>
      <c r="B21" s="3">
        <f>SUMIFS(C5:C17,B5:B17,"Fijo mensual",A5:A17,"&lt;&gt;Pauta base")</f>
        <v>5800</v>
      </c>
      <c r="C21" s="2"/>
      <c r="D21" s="2"/>
      <c r="E21" s="2"/>
      <c r="F21" s="2"/>
      <c r="G21" s="2"/>
      <c r="H21" s="2"/>
    </row>
    <row r="22" spans="1:8">
      <c r="A22" s="2" t="s">
        <v>93</v>
      </c>
      <c r="B22" s="3">
        <f>SUMIF(A5:A17,"Pauta base",C5:C17)</f>
        <v>3052</v>
      </c>
      <c r="C22" s="2"/>
      <c r="D22" s="2"/>
      <c r="E22" s="2"/>
      <c r="F22" s="2"/>
      <c r="G22" s="2"/>
      <c r="H22" s="2"/>
    </row>
    <row r="23" spans="1:8">
      <c r="A23" s="2" t="s">
        <v>350</v>
      </c>
      <c r="B23" s="3">
        <f>B21+B22</f>
        <v>8852</v>
      </c>
      <c r="C23" s="2"/>
      <c r="D23" s="2"/>
      <c r="E23" s="2"/>
      <c r="F23" s="2"/>
      <c r="G23" s="2"/>
      <c r="H23" s="2"/>
    </row>
    <row r="24" spans="1:8">
      <c r="A24" s="2" t="s">
        <v>351</v>
      </c>
      <c r="B24" s="3">
        <f>B20+B23*2</f>
        <v>42204</v>
      </c>
      <c r="C24" s="2"/>
      <c r="D24" s="2"/>
      <c r="E24" s="2"/>
      <c r="F24" s="2"/>
      <c r="G24" s="2"/>
      <c r="H24" s="2"/>
    </row>
  </sheetData>
  <mergeCells count="2">
    <mergeCell ref="A1:H1"/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1"/>
  <sheetViews>
    <sheetView showGridLines="0" workbookViewId="0"/>
  </sheetViews>
  <sheetFormatPr baseColWidth="10" defaultColWidth="8.83203125" defaultRowHeight="14"/>
  <cols>
    <col min="1" max="1" width="10.5" customWidth="1"/>
    <col min="2" max="2" width="31.33203125" customWidth="1"/>
    <col min="3" max="3" width="20.1640625" customWidth="1"/>
    <col min="4" max="4" width="21.5" customWidth="1"/>
    <col min="5" max="5" width="41.1640625" customWidth="1"/>
    <col min="6" max="6" width="16.5" customWidth="1"/>
    <col min="7" max="7" width="14.1640625" customWidth="1"/>
    <col min="8" max="8" width="36.1640625" customWidth="1"/>
  </cols>
  <sheetData>
    <row r="1" spans="1:14" ht="25.5" customHeight="1">
      <c r="A1" s="19" t="s">
        <v>352</v>
      </c>
      <c r="B1" s="19" t="s">
        <v>352</v>
      </c>
      <c r="C1" s="19" t="s">
        <v>352</v>
      </c>
      <c r="D1" s="19" t="s">
        <v>352</v>
      </c>
      <c r="E1" s="19" t="s">
        <v>352</v>
      </c>
      <c r="F1" s="19" t="s">
        <v>352</v>
      </c>
      <c r="G1" s="19" t="s">
        <v>352</v>
      </c>
      <c r="H1" s="19" t="s">
        <v>352</v>
      </c>
      <c r="I1" s="18"/>
      <c r="J1" s="18"/>
      <c r="K1" s="18"/>
      <c r="L1" s="18"/>
      <c r="M1" s="18"/>
      <c r="N1" s="18"/>
    </row>
    <row r="2" spans="1:14" ht="18" customHeight="1">
      <c r="A2" s="20" t="s">
        <v>353</v>
      </c>
      <c r="B2" s="20" t="s">
        <v>353</v>
      </c>
      <c r="C2" s="20" t="s">
        <v>353</v>
      </c>
      <c r="D2" s="20" t="s">
        <v>353</v>
      </c>
      <c r="E2" s="20" t="s">
        <v>353</v>
      </c>
      <c r="F2" s="20" t="s">
        <v>353</v>
      </c>
      <c r="G2" s="20" t="s">
        <v>353</v>
      </c>
      <c r="H2" s="20" t="s">
        <v>353</v>
      </c>
    </row>
    <row r="3" spans="1:14">
      <c r="A3" s="2"/>
      <c r="B3" s="2"/>
      <c r="C3" s="2"/>
      <c r="D3" s="2"/>
      <c r="E3" s="2"/>
      <c r="F3" s="2"/>
      <c r="G3" s="2"/>
      <c r="H3" s="2"/>
    </row>
    <row r="4" spans="1:14">
      <c r="A4" s="1" t="s">
        <v>354</v>
      </c>
      <c r="B4" s="1" t="s">
        <v>355</v>
      </c>
      <c r="C4" s="1" t="s">
        <v>47</v>
      </c>
      <c r="D4" s="1" t="s">
        <v>356</v>
      </c>
      <c r="E4" s="1" t="s">
        <v>49</v>
      </c>
      <c r="F4" s="1" t="s">
        <v>317</v>
      </c>
      <c r="G4" s="1" t="s">
        <v>135</v>
      </c>
      <c r="H4" s="1" t="s">
        <v>50</v>
      </c>
    </row>
    <row r="5" spans="1:14" ht="45">
      <c r="A5" s="4" t="s">
        <v>357</v>
      </c>
      <c r="B5" s="4" t="s">
        <v>358</v>
      </c>
      <c r="C5" s="4" t="s">
        <v>359</v>
      </c>
      <c r="D5" s="4" t="s">
        <v>360</v>
      </c>
      <c r="E5" s="4" t="s">
        <v>361</v>
      </c>
      <c r="F5" s="4" t="s">
        <v>362</v>
      </c>
      <c r="G5" s="4" t="s">
        <v>142</v>
      </c>
      <c r="H5" s="4" t="s">
        <v>363</v>
      </c>
    </row>
    <row r="6" spans="1:14" ht="30">
      <c r="A6" s="4" t="s">
        <v>156</v>
      </c>
      <c r="B6" s="4" t="s">
        <v>364</v>
      </c>
      <c r="C6" s="4" t="s">
        <v>365</v>
      </c>
      <c r="D6" s="4" t="s">
        <v>360</v>
      </c>
      <c r="E6" s="4" t="s">
        <v>366</v>
      </c>
      <c r="F6" s="4" t="s">
        <v>362</v>
      </c>
      <c r="G6" s="4" t="s">
        <v>142</v>
      </c>
      <c r="H6" s="4" t="s">
        <v>367</v>
      </c>
    </row>
    <row r="7" spans="1:14" ht="45">
      <c r="A7" s="4" t="s">
        <v>59</v>
      </c>
      <c r="B7" s="4" t="s">
        <v>368</v>
      </c>
      <c r="C7" s="4" t="s">
        <v>369</v>
      </c>
      <c r="D7" s="4" t="s">
        <v>370</v>
      </c>
      <c r="E7" s="4" t="s">
        <v>371</v>
      </c>
      <c r="F7" s="4" t="s">
        <v>362</v>
      </c>
      <c r="G7" s="4" t="s">
        <v>142</v>
      </c>
      <c r="H7" s="4" t="s">
        <v>372</v>
      </c>
    </row>
    <row r="8" spans="1:14" ht="15">
      <c r="A8" s="4" t="s">
        <v>95</v>
      </c>
      <c r="B8" s="4" t="s">
        <v>373</v>
      </c>
      <c r="C8" s="4" t="s">
        <v>374</v>
      </c>
      <c r="D8" s="4" t="s">
        <v>375</v>
      </c>
      <c r="E8" s="4" t="s">
        <v>376</v>
      </c>
      <c r="F8" s="4" t="s">
        <v>362</v>
      </c>
      <c r="G8" s="4" t="s">
        <v>142</v>
      </c>
      <c r="H8" s="4" t="s">
        <v>377</v>
      </c>
    </row>
    <row r="9" spans="1:14" ht="30">
      <c r="A9" s="4" t="s">
        <v>171</v>
      </c>
      <c r="B9" s="4" t="s">
        <v>378</v>
      </c>
      <c r="C9" s="4" t="s">
        <v>379</v>
      </c>
      <c r="D9" s="4" t="s">
        <v>370</v>
      </c>
      <c r="E9" s="4" t="s">
        <v>380</v>
      </c>
      <c r="F9" s="4" t="s">
        <v>362</v>
      </c>
      <c r="G9" s="4" t="s">
        <v>172</v>
      </c>
      <c r="H9" s="4" t="s">
        <v>381</v>
      </c>
    </row>
    <row r="10" spans="1:14" ht="30">
      <c r="A10" s="4" t="s">
        <v>382</v>
      </c>
      <c r="B10" s="4" t="s">
        <v>383</v>
      </c>
      <c r="C10" s="4" t="s">
        <v>384</v>
      </c>
      <c r="D10" s="4" t="s">
        <v>370</v>
      </c>
      <c r="E10" s="4" t="s">
        <v>385</v>
      </c>
      <c r="F10" s="4" t="s">
        <v>362</v>
      </c>
      <c r="G10" s="4" t="s">
        <v>142</v>
      </c>
      <c r="H10" s="4" t="s">
        <v>386</v>
      </c>
    </row>
    <row r="11" spans="1:14" ht="30">
      <c r="A11" s="4" t="s">
        <v>387</v>
      </c>
      <c r="B11" s="4" t="s">
        <v>388</v>
      </c>
      <c r="C11" s="4" t="s">
        <v>389</v>
      </c>
      <c r="D11" s="4" t="s">
        <v>370</v>
      </c>
      <c r="E11" s="4" t="s">
        <v>390</v>
      </c>
      <c r="F11" s="4" t="s">
        <v>362</v>
      </c>
      <c r="G11" s="4" t="s">
        <v>142</v>
      </c>
      <c r="H11" s="4" t="s">
        <v>391</v>
      </c>
    </row>
    <row r="12" spans="1:14" ht="30">
      <c r="A12" s="4" t="s">
        <v>141</v>
      </c>
      <c r="B12" s="4" t="s">
        <v>392</v>
      </c>
      <c r="C12" s="4" t="s">
        <v>393</v>
      </c>
      <c r="D12" s="4" t="s">
        <v>360</v>
      </c>
      <c r="E12" s="4" t="s">
        <v>394</v>
      </c>
      <c r="F12" s="4" t="s">
        <v>362</v>
      </c>
      <c r="G12" s="4" t="s">
        <v>142</v>
      </c>
      <c r="H12" s="4" t="s">
        <v>395</v>
      </c>
    </row>
    <row r="13" spans="1:14" ht="30">
      <c r="A13" s="4" t="s">
        <v>334</v>
      </c>
      <c r="B13" s="4" t="s">
        <v>396</v>
      </c>
      <c r="C13" s="4" t="s">
        <v>397</v>
      </c>
      <c r="D13" s="4" t="s">
        <v>375</v>
      </c>
      <c r="E13" s="4" t="s">
        <v>398</v>
      </c>
      <c r="F13" s="4" t="s">
        <v>362</v>
      </c>
      <c r="G13" s="4" t="s">
        <v>142</v>
      </c>
      <c r="H13" s="4" t="s">
        <v>399</v>
      </c>
    </row>
    <row r="14" spans="1:14" ht="30">
      <c r="A14" s="4" t="s">
        <v>400</v>
      </c>
      <c r="B14" s="4" t="s">
        <v>401</v>
      </c>
      <c r="C14" s="4" t="s">
        <v>402</v>
      </c>
      <c r="D14" s="4" t="s">
        <v>403</v>
      </c>
      <c r="E14" s="4" t="s">
        <v>404</v>
      </c>
      <c r="F14" s="4" t="s">
        <v>405</v>
      </c>
      <c r="G14" s="4" t="s">
        <v>164</v>
      </c>
      <c r="H14" s="4" t="s">
        <v>406</v>
      </c>
    </row>
    <row r="15" spans="1:14" ht="15">
      <c r="A15" s="4" t="s">
        <v>407</v>
      </c>
      <c r="B15" s="4" t="s">
        <v>408</v>
      </c>
      <c r="C15" s="4" t="s">
        <v>409</v>
      </c>
      <c r="D15" s="4" t="s">
        <v>410</v>
      </c>
      <c r="E15" s="4" t="s">
        <v>411</v>
      </c>
      <c r="F15" s="4" t="s">
        <v>405</v>
      </c>
      <c r="G15" s="4" t="s">
        <v>164</v>
      </c>
      <c r="H15" s="4" t="s">
        <v>412</v>
      </c>
    </row>
    <row r="16" spans="1:14" ht="30">
      <c r="A16" s="4" t="s">
        <v>102</v>
      </c>
      <c r="B16" s="4" t="s">
        <v>413</v>
      </c>
      <c r="C16" s="4" t="s">
        <v>414</v>
      </c>
      <c r="D16" s="4" t="s">
        <v>415</v>
      </c>
      <c r="E16" s="4" t="s">
        <v>416</v>
      </c>
      <c r="F16" s="4" t="s">
        <v>405</v>
      </c>
      <c r="G16" s="4" t="s">
        <v>164</v>
      </c>
      <c r="H16" s="4" t="s">
        <v>417</v>
      </c>
    </row>
    <row r="17" spans="1:8" ht="30">
      <c r="A17" s="4" t="s">
        <v>418</v>
      </c>
      <c r="B17" s="4" t="s">
        <v>419</v>
      </c>
      <c r="C17" s="4" t="s">
        <v>420</v>
      </c>
      <c r="D17" s="4" t="s">
        <v>410</v>
      </c>
      <c r="E17" s="4" t="s">
        <v>421</v>
      </c>
      <c r="F17" s="4" t="s">
        <v>405</v>
      </c>
      <c r="G17" s="4" t="s">
        <v>422</v>
      </c>
      <c r="H17" s="4" t="s">
        <v>423</v>
      </c>
    </row>
    <row r="18" spans="1:8" ht="15">
      <c r="A18" s="4" t="s">
        <v>54</v>
      </c>
      <c r="B18" s="4" t="s">
        <v>424</v>
      </c>
      <c r="C18" s="4" t="s">
        <v>425</v>
      </c>
      <c r="D18" s="4" t="s">
        <v>426</v>
      </c>
      <c r="E18" s="4" t="s">
        <v>427</v>
      </c>
      <c r="F18" s="4" t="s">
        <v>405</v>
      </c>
      <c r="G18" s="4" t="s">
        <v>164</v>
      </c>
      <c r="H18" s="4" t="s">
        <v>428</v>
      </c>
    </row>
    <row r="19" spans="1:8" ht="15">
      <c r="A19" s="4" t="s">
        <v>64</v>
      </c>
      <c r="B19" s="4" t="s">
        <v>429</v>
      </c>
      <c r="C19" s="4" t="s">
        <v>430</v>
      </c>
      <c r="D19" s="4" t="s">
        <v>51</v>
      </c>
      <c r="E19" s="4" t="s">
        <v>431</v>
      </c>
      <c r="F19" s="4" t="s">
        <v>432</v>
      </c>
      <c r="G19" s="4" t="s">
        <v>164</v>
      </c>
      <c r="H19" s="4" t="s">
        <v>433</v>
      </c>
    </row>
    <row r="20" spans="1:8" ht="15">
      <c r="A20" s="4" t="s">
        <v>73</v>
      </c>
      <c r="B20" s="4" t="s">
        <v>434</v>
      </c>
      <c r="C20" s="4" t="s">
        <v>435</v>
      </c>
      <c r="D20" s="4" t="s">
        <v>51</v>
      </c>
      <c r="E20" s="4" t="s">
        <v>431</v>
      </c>
      <c r="F20" s="4" t="s">
        <v>432</v>
      </c>
      <c r="G20" s="4" t="s">
        <v>164</v>
      </c>
      <c r="H20" s="4" t="s">
        <v>436</v>
      </c>
    </row>
    <row r="21" spans="1:8" ht="15">
      <c r="A21" s="4" t="s">
        <v>81</v>
      </c>
      <c r="B21" s="4" t="s">
        <v>437</v>
      </c>
      <c r="C21" s="4" t="s">
        <v>438</v>
      </c>
      <c r="D21" s="4" t="s">
        <v>51</v>
      </c>
      <c r="E21" s="4" t="s">
        <v>431</v>
      </c>
      <c r="F21" s="4" t="s">
        <v>432</v>
      </c>
      <c r="G21" s="4" t="s">
        <v>164</v>
      </c>
      <c r="H21" s="4" t="s">
        <v>439</v>
      </c>
    </row>
    <row r="22" spans="1:8" ht="15">
      <c r="A22" s="4" t="s">
        <v>91</v>
      </c>
      <c r="B22" s="4" t="s">
        <v>90</v>
      </c>
      <c r="C22" s="4" t="s">
        <v>440</v>
      </c>
      <c r="D22" s="4" t="s">
        <v>51</v>
      </c>
      <c r="E22" s="4" t="s">
        <v>431</v>
      </c>
      <c r="F22" s="4" t="s">
        <v>432</v>
      </c>
      <c r="G22" s="4" t="s">
        <v>164</v>
      </c>
      <c r="H22" s="4" t="s">
        <v>441</v>
      </c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1" t="s">
        <v>442</v>
      </c>
      <c r="B25" s="1" t="s">
        <v>443</v>
      </c>
      <c r="C25" s="1" t="s">
        <v>444</v>
      </c>
      <c r="D25" s="1" t="s">
        <v>445</v>
      </c>
      <c r="E25" s="1" t="s">
        <v>446</v>
      </c>
      <c r="F25" s="1" t="s">
        <v>447</v>
      </c>
      <c r="G25" s="2"/>
      <c r="H25" s="2"/>
    </row>
    <row r="26" spans="1:8">
      <c r="A26" s="2" t="s">
        <v>448</v>
      </c>
      <c r="B26" s="6">
        <f>Supuestos!C8+Supuestos!C9</f>
        <v>1</v>
      </c>
      <c r="C26" s="6">
        <v>1</v>
      </c>
      <c r="D26" s="6">
        <f>B26-C26</f>
        <v>0</v>
      </c>
      <c r="E26" s="2">
        <v>1E-4</v>
      </c>
      <c r="F26" s="2" t="str">
        <f>IF(ABS(D26)&lt;=E26,"OK","Revisar")</f>
        <v>OK</v>
      </c>
      <c r="G26" s="2"/>
      <c r="H26" s="2"/>
    </row>
    <row r="27" spans="1:8">
      <c r="A27" s="2" t="s">
        <v>449</v>
      </c>
      <c r="B27" s="3">
        <f>Unit_Economics!C5</f>
        <v>235</v>
      </c>
      <c r="C27" s="2" t="s">
        <v>450</v>
      </c>
      <c r="D27" s="2"/>
      <c r="E27" s="2"/>
      <c r="F27" s="2" t="str">
        <f>IF(B27&gt;0,"OK","Revisar")</f>
        <v>OK</v>
      </c>
      <c r="G27" s="2"/>
      <c r="H27" s="2"/>
    </row>
    <row r="28" spans="1:8">
      <c r="A28" s="2" t="s">
        <v>451</v>
      </c>
      <c r="B28" s="3">
        <f>Unit_Economics!C9</f>
        <v>58.45</v>
      </c>
      <c r="C28" s="2" t="s">
        <v>450</v>
      </c>
      <c r="D28" s="2"/>
      <c r="E28" s="2"/>
      <c r="F28" s="2" t="str">
        <f>IF(B28&gt;0,"OK","Revisar")</f>
        <v>OK</v>
      </c>
      <c r="G28" s="2"/>
      <c r="H28" s="2"/>
    </row>
    <row r="29" spans="1:8">
      <c r="A29" s="2" t="s">
        <v>452</v>
      </c>
      <c r="B29" s="3">
        <f>Forecast_Base!M9</f>
        <v>173634.41798147684</v>
      </c>
      <c r="C29" s="2" t="s">
        <v>450</v>
      </c>
      <c r="D29" s="2"/>
      <c r="E29" s="2"/>
      <c r="F29" s="2" t="str">
        <f>IF(B29&gt;0,"OK","Revisar")</f>
        <v>OK</v>
      </c>
      <c r="G29" s="2"/>
      <c r="H29" s="2"/>
    </row>
    <row r="30" spans="1:8">
      <c r="A30" s="2" t="s">
        <v>453</v>
      </c>
      <c r="B30" s="2">
        <f>COUNTIF(Forecast_Base!B17:Y17,"&gt;0")</f>
        <v>21</v>
      </c>
      <c r="C30" s="2" t="s">
        <v>454</v>
      </c>
      <c r="D30" s="2"/>
      <c r="E30" s="2"/>
      <c r="F30" s="2" t="str">
        <f>IF(B30&gt;0,"OK","Revisar")</f>
        <v>OK</v>
      </c>
      <c r="G30" s="2"/>
      <c r="H30" s="2"/>
    </row>
    <row r="31" spans="1:8">
      <c r="A31" s="2" t="s">
        <v>455</v>
      </c>
      <c r="B31" s="2">
        <f>COUNTIF(Forecast_Base!B19:Y19,"&gt;0")</f>
        <v>19</v>
      </c>
      <c r="C31" s="2" t="s">
        <v>456</v>
      </c>
      <c r="D31" s="2"/>
      <c r="E31" s="2"/>
      <c r="F31" s="2" t="str">
        <f>IF(B31&gt;0,"OK - en horizonte","No en horizonte")</f>
        <v>OK - en horizonte</v>
      </c>
      <c r="G31" s="2"/>
      <c r="H31" s="2"/>
    </row>
  </sheetData>
  <mergeCells count="2">
    <mergeCell ref="A1:H1"/>
    <mergeCell ref="A2:H2"/>
  </mergeCells>
  <conditionalFormatting sqref="F26:F31">
    <cfRule type="containsText" dxfId="1" priority="1" operator="containsText" text="OK"/>
    <cfRule type="containsText" dxfId="0" priority="2" operator="containsText" text="Revisar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</vt:lpstr>
      <vt:lpstr>Supuestos</vt:lpstr>
      <vt:lpstr>Mercado</vt:lpstr>
      <vt:lpstr>Unit_Economics</vt:lpstr>
      <vt:lpstr>Forecast_Base</vt:lpstr>
      <vt:lpstr>Escenarios</vt:lpstr>
      <vt:lpstr>Inversion_Costos</vt:lpstr>
      <vt:lpstr>Fuentes_Checks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Antonio Polanco</cp:lastModifiedBy>
  <dcterms:created xsi:type="dcterms:W3CDTF">2026-05-18T17:13:34Z</dcterms:created>
  <dcterms:modified xsi:type="dcterms:W3CDTF">2026-05-18T17:13:34Z</dcterms:modified>
</cp:coreProperties>
</file>